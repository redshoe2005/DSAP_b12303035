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hawn\Downloads\"/>
    </mc:Choice>
  </mc:AlternateContent>
  <xr:revisionPtr revIDLastSave="0" documentId="13_ncr:1_{0CE4BF36-1E45-4AA0-9699-8B42B1D83A0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表1｜綜計表" sheetId="1" r:id="rId1"/>
    <sheet name="表2｜主要表" sheetId="2" r:id="rId2"/>
    <sheet name="表3-1｜期入預算附屬表" sheetId="3" r:id="rId3"/>
    <sheet name="表3-2｜期出預算附屬表" sheetId="4" r:id="rId4"/>
    <sheet name="可以砍的地方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2" l="1"/>
  <c r="J30" i="2"/>
  <c r="H70" i="4"/>
  <c r="J68" i="2"/>
  <c r="I68" i="2"/>
  <c r="J109" i="2"/>
  <c r="I109" i="2"/>
  <c r="K14" i="2"/>
  <c r="I66" i="2"/>
  <c r="J65" i="2"/>
  <c r="I65" i="2"/>
  <c r="K65" i="2" s="1"/>
  <c r="J64" i="2"/>
  <c r="I64" i="2"/>
  <c r="H64" i="2"/>
  <c r="G64" i="2"/>
  <c r="I63" i="2"/>
  <c r="J92" i="2"/>
  <c r="I92" i="2"/>
  <c r="G88" i="2"/>
  <c r="J88" i="2"/>
  <c r="I88" i="2"/>
  <c r="H264" i="4"/>
  <c r="H16" i="4"/>
  <c r="H307" i="4"/>
  <c r="H308" i="4"/>
  <c r="H310" i="4"/>
  <c r="H312" i="4"/>
  <c r="H314" i="4"/>
  <c r="H315" i="4"/>
  <c r="H316" i="4"/>
  <c r="H305" i="4"/>
  <c r="H283" i="4"/>
  <c r="H285" i="4"/>
  <c r="H286" i="4"/>
  <c r="H287" i="4"/>
  <c r="H284" i="4"/>
  <c r="G397" i="4"/>
  <c r="C12" i="5"/>
  <c r="G384" i="4"/>
  <c r="H386" i="4" s="1"/>
  <c r="G377" i="4"/>
  <c r="H381" i="4" s="1"/>
  <c r="G368" i="4"/>
  <c r="I107" i="2" s="1"/>
  <c r="K107" i="2" s="1"/>
  <c r="H367" i="4"/>
  <c r="H366" i="4"/>
  <c r="H365" i="4"/>
  <c r="H363" i="4"/>
  <c r="H361" i="4"/>
  <c r="H359" i="4"/>
  <c r="H358" i="4"/>
  <c r="H356" i="4"/>
  <c r="H350" i="4"/>
  <c r="G349" i="4"/>
  <c r="H340" i="4"/>
  <c r="H337" i="4"/>
  <c r="G332" i="4"/>
  <c r="I100" i="2" s="1"/>
  <c r="H329" i="4"/>
  <c r="G324" i="4"/>
  <c r="G322" i="4"/>
  <c r="H323" i="4" s="1"/>
  <c r="G304" i="4"/>
  <c r="G296" i="4"/>
  <c r="H302" i="4" s="1"/>
  <c r="G289" i="4"/>
  <c r="I90" i="2" s="1"/>
  <c r="G282" i="4"/>
  <c r="G275" i="4"/>
  <c r="I87" i="2" s="1"/>
  <c r="H273" i="4"/>
  <c r="H272" i="4"/>
  <c r="G270" i="4"/>
  <c r="H271" i="4" s="1"/>
  <c r="G262" i="4"/>
  <c r="I80" i="2" s="1"/>
  <c r="K80" i="2" s="1"/>
  <c r="G241" i="4"/>
  <c r="H256" i="4" s="1"/>
  <c r="G226" i="4"/>
  <c r="G216" i="4"/>
  <c r="I73" i="2" s="1"/>
  <c r="K73" i="2" s="1"/>
  <c r="G212" i="4"/>
  <c r="H215" i="4" s="1"/>
  <c r="G197" i="4"/>
  <c r="K66" i="2" s="1"/>
  <c r="G185" i="4"/>
  <c r="H195" i="4" s="1"/>
  <c r="G175" i="4"/>
  <c r="H173" i="4"/>
  <c r="G161" i="4"/>
  <c r="H166" i="4" s="1"/>
  <c r="G157" i="4"/>
  <c r="I57" i="2" s="1"/>
  <c r="K57" i="2" s="1"/>
  <c r="H156" i="4"/>
  <c r="H154" i="4"/>
  <c r="H153" i="4"/>
  <c r="G152" i="4"/>
  <c r="G146" i="4"/>
  <c r="H151" i="4" s="1"/>
  <c r="G144" i="4"/>
  <c r="H145" i="4" s="1"/>
  <c r="G133" i="4"/>
  <c r="H140" i="4" s="1"/>
  <c r="G131" i="4"/>
  <c r="G121" i="4"/>
  <c r="G115" i="4"/>
  <c r="H116" i="4" s="1"/>
  <c r="G113" i="4"/>
  <c r="H114" i="4" s="1"/>
  <c r="G104" i="4"/>
  <c r="G100" i="4"/>
  <c r="I41" i="2" s="1"/>
  <c r="K41" i="2" s="1"/>
  <c r="G89" i="4"/>
  <c r="G85" i="4"/>
  <c r="I39" i="2" s="1"/>
  <c r="K39" i="2" s="1"/>
  <c r="G81" i="4"/>
  <c r="H84" i="4" s="1"/>
  <c r="G79" i="4"/>
  <c r="H80" i="4" s="1"/>
  <c r="G75" i="4"/>
  <c r="H76" i="4" s="1"/>
  <c r="G66" i="4"/>
  <c r="G62" i="4"/>
  <c r="H63" i="4" s="1"/>
  <c r="G49" i="4"/>
  <c r="G30" i="4"/>
  <c r="H38" i="4" s="1"/>
  <c r="G20" i="4"/>
  <c r="G11" i="4"/>
  <c r="H15" i="4" s="1"/>
  <c r="G143" i="3"/>
  <c r="G113" i="2" s="1"/>
  <c r="F25" i="1" s="1"/>
  <c r="F124" i="3"/>
  <c r="F123" i="3"/>
  <c r="F122" i="3"/>
  <c r="F114" i="3"/>
  <c r="F109" i="3"/>
  <c r="F102" i="3"/>
  <c r="G96" i="3"/>
  <c r="H97" i="3" s="1"/>
  <c r="H78" i="2" s="1"/>
  <c r="G33" i="3"/>
  <c r="G13" i="3"/>
  <c r="H14" i="3" s="1"/>
  <c r="H115" i="2"/>
  <c r="G115" i="2"/>
  <c r="I114" i="2"/>
  <c r="H114" i="2"/>
  <c r="G114" i="2"/>
  <c r="H113" i="2"/>
  <c r="G25" i="1" s="1"/>
  <c r="G110" i="2"/>
  <c r="I106" i="2"/>
  <c r="G105" i="2"/>
  <c r="F22" i="1" s="1"/>
  <c r="G104" i="2"/>
  <c r="F21" i="1" s="1"/>
  <c r="I101" i="2"/>
  <c r="H101" i="2"/>
  <c r="G101" i="2"/>
  <c r="F101" i="2"/>
  <c r="H100" i="2"/>
  <c r="G100" i="2"/>
  <c r="F100" i="2"/>
  <c r="I99" i="2"/>
  <c r="H99" i="2"/>
  <c r="G99" i="2"/>
  <c r="F99" i="2"/>
  <c r="I97" i="2"/>
  <c r="G95" i="2"/>
  <c r="F19" i="1" s="1"/>
  <c r="H93" i="2"/>
  <c r="G93" i="2"/>
  <c r="G90" i="2"/>
  <c r="G87" i="2"/>
  <c r="I85" i="2"/>
  <c r="H85" i="2"/>
  <c r="G85" i="2"/>
  <c r="F85" i="2"/>
  <c r="F80" i="2"/>
  <c r="G79" i="2"/>
  <c r="F79" i="2"/>
  <c r="G78" i="2"/>
  <c r="F78" i="2"/>
  <c r="F73" i="2"/>
  <c r="I72" i="2"/>
  <c r="G61" i="2"/>
  <c r="F15" i="1" s="1"/>
  <c r="I56" i="2"/>
  <c r="K56" i="2" s="1"/>
  <c r="I55" i="2"/>
  <c r="K55" i="2" s="1"/>
  <c r="I54" i="2"/>
  <c r="G53" i="2"/>
  <c r="I51" i="2"/>
  <c r="K51" i="2" s="1"/>
  <c r="G49" i="2"/>
  <c r="I45" i="2"/>
  <c r="G44" i="2"/>
  <c r="G36" i="2"/>
  <c r="G35" i="2"/>
  <c r="G31" i="2"/>
  <c r="H30" i="2"/>
  <c r="G29" i="2"/>
  <c r="G25" i="2"/>
  <c r="G24" i="2"/>
  <c r="G22" i="2"/>
  <c r="F12" i="1" s="1"/>
  <c r="G20" i="2"/>
  <c r="G19" i="2"/>
  <c r="G15" i="2"/>
  <c r="I13" i="2"/>
  <c r="G22" i="1"/>
  <c r="G21" i="1"/>
  <c r="G19" i="1"/>
  <c r="G16" i="1"/>
  <c r="F16" i="1"/>
  <c r="G14" i="1"/>
  <c r="G12" i="1"/>
  <c r="G11" i="1"/>
  <c r="K64" i="2" l="1"/>
  <c r="G76" i="2"/>
  <c r="F17" i="1" s="1"/>
  <c r="G141" i="3"/>
  <c r="G112" i="2" s="1"/>
  <c r="F24" i="1" s="1"/>
  <c r="K63" i="2"/>
  <c r="I38" i="2"/>
  <c r="K38" i="2" s="1"/>
  <c r="H134" i="4"/>
  <c r="H385" i="4"/>
  <c r="I37" i="2"/>
  <c r="I19" i="2"/>
  <c r="H141" i="4"/>
  <c r="H118" i="4"/>
  <c r="H40" i="4"/>
  <c r="H42" i="4"/>
  <c r="H43" i="4"/>
  <c r="G44" i="4"/>
  <c r="H44" i="4" s="1"/>
  <c r="J20" i="2" s="1"/>
  <c r="H138" i="4"/>
  <c r="I29" i="2"/>
  <c r="H147" i="4"/>
  <c r="H389" i="4"/>
  <c r="I35" i="2"/>
  <c r="H148" i="4"/>
  <c r="H41" i="4"/>
  <c r="H137" i="4"/>
  <c r="H139" i="4"/>
  <c r="I58" i="2"/>
  <c r="K58" i="2" s="1"/>
  <c r="I108" i="2"/>
  <c r="K108" i="2" s="1"/>
  <c r="H150" i="4"/>
  <c r="H303" i="4"/>
  <c r="H300" i="4"/>
  <c r="H297" i="4"/>
  <c r="H299" i="4"/>
  <c r="I91" i="2"/>
  <c r="H278" i="4"/>
  <c r="H279" i="4"/>
  <c r="G274" i="4"/>
  <c r="H275" i="4" s="1"/>
  <c r="H261" i="4"/>
  <c r="H260" i="4"/>
  <c r="H217" i="4"/>
  <c r="G221" i="4"/>
  <c r="G211" i="4" s="1"/>
  <c r="H216" i="4" s="1"/>
  <c r="J73" i="2" s="1"/>
  <c r="H213" i="4"/>
  <c r="H214" i="4"/>
  <c r="H188" i="4"/>
  <c r="H187" i="4"/>
  <c r="I46" i="2"/>
  <c r="K46" i="2" s="1"/>
  <c r="G78" i="4"/>
  <c r="I36" i="2" s="1"/>
  <c r="H87" i="4"/>
  <c r="H36" i="4"/>
  <c r="H31" i="4"/>
  <c r="H35" i="4"/>
  <c r="H39" i="4"/>
  <c r="H17" i="4"/>
  <c r="H12" i="4"/>
  <c r="H14" i="4"/>
  <c r="H18" i="4"/>
  <c r="G25" i="4"/>
  <c r="I15" i="2" s="1"/>
  <c r="H99" i="3"/>
  <c r="H79" i="2" s="1"/>
  <c r="H16" i="3"/>
  <c r="G11" i="3"/>
  <c r="G11" i="2" s="1"/>
  <c r="F10" i="1" s="1"/>
  <c r="H15" i="3"/>
  <c r="K99" i="2"/>
  <c r="K101" i="2"/>
  <c r="I47" i="2"/>
  <c r="K47" i="2" s="1"/>
  <c r="G112" i="4"/>
  <c r="H121" i="4" s="1"/>
  <c r="J47" i="2" s="1"/>
  <c r="H129" i="4"/>
  <c r="I98" i="2"/>
  <c r="K98" i="2" s="1"/>
  <c r="I20" i="2"/>
  <c r="G29" i="4"/>
  <c r="H203" i="4"/>
  <c r="H205" i="4"/>
  <c r="G57" i="4"/>
  <c r="H56" i="4"/>
  <c r="H53" i="4"/>
  <c r="H50" i="4"/>
  <c r="H54" i="4"/>
  <c r="H55" i="4"/>
  <c r="H333" i="4"/>
  <c r="I30" i="2"/>
  <c r="H22" i="4"/>
  <c r="H23" i="4"/>
  <c r="H67" i="4"/>
  <c r="G143" i="4"/>
  <c r="H146" i="4" s="1"/>
  <c r="J55" i="2" s="1"/>
  <c r="H68" i="4"/>
  <c r="H115" i="4"/>
  <c r="J46" i="2" s="1"/>
  <c r="G412" i="4"/>
  <c r="H409" i="4"/>
  <c r="H408" i="4"/>
  <c r="H411" i="4"/>
  <c r="H407" i="4"/>
  <c r="H406" i="4"/>
  <c r="H405" i="4"/>
  <c r="H404" i="4"/>
  <c r="H402" i="4"/>
  <c r="H399" i="4"/>
  <c r="H398" i="4"/>
  <c r="H410" i="4"/>
  <c r="H122" i="4"/>
  <c r="H37" i="3"/>
  <c r="G30" i="3"/>
  <c r="G30" i="2"/>
  <c r="H125" i="4"/>
  <c r="G265" i="4"/>
  <c r="H238" i="4"/>
  <c r="H235" i="4"/>
  <c r="I78" i="2"/>
  <c r="H240" i="4"/>
  <c r="H234" i="4"/>
  <c r="H233" i="4"/>
  <c r="H34" i="3"/>
  <c r="H127" i="4"/>
  <c r="H35" i="3"/>
  <c r="H128" i="4"/>
  <c r="H227" i="4"/>
  <c r="H325" i="4"/>
  <c r="H375" i="4"/>
  <c r="H374" i="4"/>
  <c r="H372" i="4"/>
  <c r="H369" i="4"/>
  <c r="H371" i="4"/>
  <c r="H36" i="3"/>
  <c r="H92" i="4"/>
  <c r="H90" i="4"/>
  <c r="I40" i="2"/>
  <c r="K40" i="2" s="1"/>
  <c r="H131" i="4"/>
  <c r="J50" i="2" s="1"/>
  <c r="H198" i="4"/>
  <c r="H370" i="4"/>
  <c r="H96" i="4"/>
  <c r="H97" i="4"/>
  <c r="H204" i="4"/>
  <c r="K100" i="2"/>
  <c r="H165" i="4"/>
  <c r="H163" i="4"/>
  <c r="H206" i="4"/>
  <c r="H101" i="4"/>
  <c r="H161" i="4"/>
  <c r="J58" i="2" s="1"/>
  <c r="H263" i="4"/>
  <c r="H21" i="4"/>
  <c r="H102" i="4"/>
  <c r="H162" i="4"/>
  <c r="G391" i="4"/>
  <c r="G348" i="4" s="1"/>
  <c r="I24" i="2"/>
  <c r="H183" i="4"/>
  <c r="H182" i="4"/>
  <c r="H181" i="4"/>
  <c r="H180" i="4"/>
  <c r="H176" i="4"/>
  <c r="G207" i="4"/>
  <c r="H177" i="4"/>
  <c r="G114" i="3"/>
  <c r="G92" i="2" s="1"/>
  <c r="G288" i="4"/>
  <c r="H289" i="4" s="1"/>
  <c r="J90" i="2" s="1"/>
  <c r="H111" i="4"/>
  <c r="H110" i="4"/>
  <c r="H107" i="4"/>
  <c r="H378" i="4"/>
  <c r="H379" i="4"/>
  <c r="H380" i="4"/>
  <c r="H83" i="4"/>
  <c r="H194" i="4"/>
  <c r="H193" i="4"/>
  <c r="H192" i="4"/>
  <c r="H186" i="4"/>
  <c r="H293" i="4"/>
  <c r="H382" i="4"/>
  <c r="H104" i="4"/>
  <c r="J42" i="2" s="1"/>
  <c r="H132" i="4"/>
  <c r="G130" i="4"/>
  <c r="I50" i="2"/>
  <c r="H105" i="4"/>
  <c r="H133" i="4"/>
  <c r="J51" i="2" s="1"/>
  <c r="H249" i="4"/>
  <c r="H242" i="4"/>
  <c r="I79" i="2"/>
  <c r="H109" i="4"/>
  <c r="H250" i="4"/>
  <c r="G70" i="4"/>
  <c r="G61" i="4" s="1"/>
  <c r="H251" i="4"/>
  <c r="H290" i="4"/>
  <c r="H82" i="4"/>
  <c r="H255" i="4"/>
  <c r="H281" i="4"/>
  <c r="H280" i="4"/>
  <c r="H292" i="4"/>
  <c r="I42" i="2"/>
  <c r="K42" i="2" s="1"/>
  <c r="H64" i="4"/>
  <c r="H158" i="4"/>
  <c r="H258" i="4"/>
  <c r="H276" i="4"/>
  <c r="H294" i="4"/>
  <c r="H388" i="4"/>
  <c r="H387" i="4"/>
  <c r="H65" i="4"/>
  <c r="H86" i="4"/>
  <c r="H159" i="4"/>
  <c r="H259" i="4"/>
  <c r="H277" i="4"/>
  <c r="H295" i="4"/>
  <c r="G343" i="4"/>
  <c r="G13" i="2"/>
  <c r="G113" i="3"/>
  <c r="H37" i="4"/>
  <c r="H301" i="4"/>
  <c r="H13" i="3" l="1"/>
  <c r="H18" i="3"/>
  <c r="H89" i="4"/>
  <c r="J40" i="2" s="1"/>
  <c r="H85" i="4"/>
  <c r="J39" i="2" s="1"/>
  <c r="H79" i="4"/>
  <c r="J37" i="2" s="1"/>
  <c r="H384" i="4"/>
  <c r="H368" i="4"/>
  <c r="J107" i="2" s="1"/>
  <c r="H377" i="4"/>
  <c r="J108" i="2" s="1"/>
  <c r="G107" i="3"/>
  <c r="H100" i="4"/>
  <c r="J41" i="2" s="1"/>
  <c r="I74" i="2"/>
  <c r="I70" i="2"/>
  <c r="H16" i="1" s="1"/>
  <c r="H81" i="4"/>
  <c r="J38" i="2" s="1"/>
  <c r="G167" i="4"/>
  <c r="H296" i="4"/>
  <c r="J91" i="2" s="1"/>
  <c r="H282" i="4"/>
  <c r="H108" i="3"/>
  <c r="H87" i="2" s="1"/>
  <c r="J87" i="2"/>
  <c r="G317" i="4"/>
  <c r="G269" i="4" s="1"/>
  <c r="H274" i="4" s="1"/>
  <c r="J86" i="2" s="1"/>
  <c r="I86" i="2"/>
  <c r="H212" i="4"/>
  <c r="J72" i="2" s="1"/>
  <c r="H221" i="4"/>
  <c r="J74" i="2" s="1"/>
  <c r="G10" i="4"/>
  <c r="H11" i="4" s="1"/>
  <c r="J13" i="2" s="1"/>
  <c r="I102" i="2"/>
  <c r="I25" i="2"/>
  <c r="G48" i="4"/>
  <c r="I17" i="2"/>
  <c r="H11" i="1" s="1"/>
  <c r="I53" i="2"/>
  <c r="H152" i="4"/>
  <c r="J56" i="2" s="1"/>
  <c r="H30" i="4"/>
  <c r="J19" i="2" s="1"/>
  <c r="H157" i="4"/>
  <c r="J57" i="2" s="1"/>
  <c r="G111" i="3"/>
  <c r="H113" i="3" s="1"/>
  <c r="H91" i="2" s="1"/>
  <c r="G91" i="2"/>
  <c r="G86" i="2"/>
  <c r="H109" i="3"/>
  <c r="H88" i="2" s="1"/>
  <c r="G171" i="4"/>
  <c r="I49" i="2"/>
  <c r="G321" i="4"/>
  <c r="H343" i="4" s="1"/>
  <c r="J102" i="2" s="1"/>
  <c r="H62" i="4"/>
  <c r="J29" i="2" s="1"/>
  <c r="I105" i="2"/>
  <c r="H22" i="1" s="1"/>
  <c r="H349" i="4"/>
  <c r="J106" i="2" s="1"/>
  <c r="G347" i="4"/>
  <c r="G225" i="4"/>
  <c r="I81" i="2"/>
  <c r="I89" i="2"/>
  <c r="H304" i="4"/>
  <c r="H66" i="4"/>
  <c r="I44" i="2"/>
  <c r="H113" i="4"/>
  <c r="J45" i="2" s="1"/>
  <c r="I110" i="2"/>
  <c r="G27" i="2"/>
  <c r="F13" i="1" s="1"/>
  <c r="J31" i="2"/>
  <c r="I31" i="2"/>
  <c r="I27" i="2" s="1"/>
  <c r="H13" i="1" s="1"/>
  <c r="I115" i="2"/>
  <c r="G396" i="4"/>
  <c r="H412" i="4" s="1"/>
  <c r="J115" i="2" s="1"/>
  <c r="H144" i="4"/>
  <c r="J54" i="2" s="1"/>
  <c r="I11" i="2" l="1"/>
  <c r="H10" i="1" s="1"/>
  <c r="G74" i="4"/>
  <c r="G8" i="4" s="1"/>
  <c r="H171" i="4" s="1"/>
  <c r="J61" i="2" s="1"/>
  <c r="I15" i="1" s="1"/>
  <c r="I59" i="2"/>
  <c r="I93" i="2"/>
  <c r="I83" i="2"/>
  <c r="H18" i="1" s="1"/>
  <c r="H317" i="4"/>
  <c r="J93" i="2" s="1"/>
  <c r="H270" i="4"/>
  <c r="J85" i="2" s="1"/>
  <c r="H288" i="4"/>
  <c r="J89" i="2" s="1"/>
  <c r="H25" i="4"/>
  <c r="J15" i="2" s="1"/>
  <c r="H20" i="4"/>
  <c r="J14" i="2" s="1"/>
  <c r="I76" i="2"/>
  <c r="H17" i="1" s="1"/>
  <c r="H262" i="4"/>
  <c r="J80" i="2" s="1"/>
  <c r="H226" i="4"/>
  <c r="J78" i="2" s="1"/>
  <c r="H241" i="4"/>
  <c r="J79" i="2" s="1"/>
  <c r="I104" i="2"/>
  <c r="H21" i="1" s="1"/>
  <c r="H348" i="4"/>
  <c r="J105" i="2" s="1"/>
  <c r="I22" i="1" s="1"/>
  <c r="H112" i="3"/>
  <c r="H90" i="2" s="1"/>
  <c r="G89" i="2"/>
  <c r="H391" i="4"/>
  <c r="J110" i="2" s="1"/>
  <c r="I95" i="2"/>
  <c r="H19" i="1" s="1"/>
  <c r="H336" i="4"/>
  <c r="J101" i="2" s="1"/>
  <c r="H328" i="4"/>
  <c r="J99" i="2" s="1"/>
  <c r="H322" i="4"/>
  <c r="J97" i="2" s="1"/>
  <c r="H332" i="4"/>
  <c r="J100" i="2" s="1"/>
  <c r="H324" i="4"/>
  <c r="J98" i="2" s="1"/>
  <c r="I33" i="2"/>
  <c r="H14" i="1" s="1"/>
  <c r="H75" i="4"/>
  <c r="J35" i="2" s="1"/>
  <c r="H78" i="4"/>
  <c r="J36" i="2" s="1"/>
  <c r="H143" i="4"/>
  <c r="J53" i="2" s="1"/>
  <c r="H114" i="3"/>
  <c r="H92" i="2" s="1"/>
  <c r="I61" i="2"/>
  <c r="H15" i="1" s="1"/>
  <c r="H172" i="4"/>
  <c r="J63" i="2" s="1"/>
  <c r="H197" i="4"/>
  <c r="J66" i="2" s="1"/>
  <c r="H185" i="4"/>
  <c r="H175" i="4"/>
  <c r="H207" i="4"/>
  <c r="I22" i="2"/>
  <c r="H12" i="1" s="1"/>
  <c r="H49" i="4"/>
  <c r="J24" i="2" s="1"/>
  <c r="H167" i="4"/>
  <c r="J59" i="2" s="1"/>
  <c r="H57" i="4"/>
  <c r="J25" i="2" s="1"/>
  <c r="G395" i="4"/>
  <c r="I113" i="2"/>
  <c r="H25" i="1" s="1"/>
  <c r="H397" i="4"/>
  <c r="J114" i="2" s="1"/>
  <c r="H396" i="4"/>
  <c r="J113" i="2" s="1"/>
  <c r="I25" i="1" s="1"/>
  <c r="H265" i="4"/>
  <c r="J81" i="2" s="1"/>
  <c r="G104" i="3"/>
  <c r="H111" i="3" s="1"/>
  <c r="H89" i="2" s="1"/>
  <c r="H112" i="4" l="1"/>
  <c r="J44" i="2" s="1"/>
  <c r="H130" i="4"/>
  <c r="J49" i="2" s="1"/>
  <c r="H321" i="4"/>
  <c r="J95" i="2" s="1"/>
  <c r="I19" i="1" s="1"/>
  <c r="G83" i="2"/>
  <c r="F18" i="1" s="1"/>
  <c r="G9" i="3"/>
  <c r="H107" i="3"/>
  <c r="H86" i="2" s="1"/>
  <c r="G6" i="4"/>
  <c r="H395" i="4" s="1"/>
  <c r="J112" i="2" s="1"/>
  <c r="I24" i="1" s="1"/>
  <c r="I9" i="2"/>
  <c r="H9" i="1" s="1"/>
  <c r="H211" i="4"/>
  <c r="J70" i="2" s="1"/>
  <c r="I16" i="1" s="1"/>
  <c r="H269" i="4"/>
  <c r="J83" i="2" s="1"/>
  <c r="I18" i="1" s="1"/>
  <c r="H61" i="4"/>
  <c r="J27" i="2" s="1"/>
  <c r="I13" i="1" s="1"/>
  <c r="H29" i="4"/>
  <c r="J17" i="2" s="1"/>
  <c r="I11" i="1" s="1"/>
  <c r="H10" i="4"/>
  <c r="J11" i="2" s="1"/>
  <c r="I10" i="1" s="1"/>
  <c r="I112" i="2"/>
  <c r="H24" i="1" s="1"/>
  <c r="H74" i="4"/>
  <c r="J33" i="2" s="1"/>
  <c r="I14" i="1" s="1"/>
  <c r="H225" i="4"/>
  <c r="J76" i="2" s="1"/>
  <c r="I17" i="1" s="1"/>
  <c r="H48" i="4"/>
  <c r="J22" i="2" s="1"/>
  <c r="I12" i="1" s="1"/>
  <c r="H7" i="1" l="1"/>
  <c r="I7" i="1" s="1"/>
  <c r="I7" i="2"/>
  <c r="J7" i="2" s="1"/>
  <c r="H347" i="4"/>
  <c r="J104" i="2" s="1"/>
  <c r="I21" i="1" s="1"/>
  <c r="H8" i="4"/>
  <c r="J9" i="2" s="1"/>
  <c r="I9" i="1" s="1"/>
  <c r="H118" i="3"/>
  <c r="H41" i="3"/>
  <c r="H25" i="3"/>
  <c r="G9" i="2"/>
  <c r="H20" i="3"/>
  <c r="G7" i="3"/>
  <c r="H89" i="3"/>
  <c r="H71" i="3"/>
  <c r="H61" i="2" s="1"/>
  <c r="G15" i="1" s="1"/>
  <c r="H11" i="3"/>
  <c r="H96" i="3"/>
  <c r="H30" i="3"/>
  <c r="H27" i="2" s="1"/>
  <c r="G13" i="1" s="1"/>
  <c r="H104" i="3"/>
  <c r="H83" i="2" s="1"/>
  <c r="G18" i="1" s="1"/>
  <c r="H127" i="3" l="1"/>
  <c r="H141" i="3"/>
  <c r="H112" i="2" s="1"/>
  <c r="G24" i="1" s="1"/>
  <c r="G7" i="2"/>
  <c r="F9" i="1"/>
  <c r="H11" i="2"/>
  <c r="G10" i="1" s="1"/>
  <c r="H9" i="3"/>
  <c r="H7" i="2" l="1"/>
  <c r="F7" i="1"/>
  <c r="G7" i="1" s="1"/>
  <c r="H76" i="2"/>
  <c r="G17" i="1" s="1"/>
  <c r="H13" i="2"/>
  <c r="H9" i="2"/>
  <c r="G9" i="1" s="1"/>
</calcChain>
</file>

<file path=xl/sharedStrings.xml><?xml version="1.0" encoding="utf-8"?>
<sst xmlns="http://schemas.openxmlformats.org/spreadsheetml/2006/main" count="1505" uniqueCount="459">
  <si>
    <t>國立臺灣大學學生會總預算案</t>
  </si>
  <si>
    <t>綜計表</t>
  </si>
  <si>
    <t>第38屆第一期間（114-1）</t>
  </si>
  <si>
    <t xml:space="preserve">2025年9月22日至2026年3月14日                                                        </t>
  </si>
  <si>
    <t>單位：新台幣元</t>
  </si>
  <si>
    <t>單位別</t>
  </si>
  <si>
    <t>本期間期入</t>
  </si>
  <si>
    <t>佔本期間期入</t>
  </si>
  <si>
    <t>本期間期出</t>
  </si>
  <si>
    <t>佔本期間期出</t>
  </si>
  <si>
    <t>款</t>
  </si>
  <si>
    <t>項</t>
  </si>
  <si>
    <t>說明</t>
  </si>
  <si>
    <t>預算數</t>
  </si>
  <si>
    <t>百分比</t>
  </si>
  <si>
    <t>合計</t>
  </si>
  <si>
    <t>行政部門</t>
  </si>
  <si>
    <t>會長</t>
  </si>
  <si>
    <t>秘書處</t>
  </si>
  <si>
    <t>財務部</t>
  </si>
  <si>
    <t>學權部</t>
  </si>
  <si>
    <t>學術部</t>
  </si>
  <si>
    <t>文化部</t>
  </si>
  <si>
    <t>公關部</t>
  </si>
  <si>
    <t>選舉罷免執行委員會</t>
  </si>
  <si>
    <t>國際事務部</t>
  </si>
  <si>
    <t>A</t>
  </si>
  <si>
    <t>資訊部</t>
  </si>
  <si>
    <t>立法部門</t>
  </si>
  <si>
    <t>學生代表大會</t>
  </si>
  <si>
    <t>司法部門</t>
  </si>
  <si>
    <t>學生法院</t>
  </si>
  <si>
    <t>部門預算</t>
  </si>
  <si>
    <t>單位預算</t>
  </si>
  <si>
    <t>目</t>
  </si>
  <si>
    <t>附屬單位預算</t>
  </si>
  <si>
    <t>節</t>
  </si>
  <si>
    <t>計畫名稱</t>
  </si>
  <si>
    <t>主要表</t>
  </si>
  <si>
    <t>單位計畫別</t>
  </si>
  <si>
    <t>預算科目</t>
  </si>
  <si>
    <t>本期期入</t>
  </si>
  <si>
    <t>本期期出</t>
  </si>
  <si>
    <t>各計畫會費支出情形</t>
  </si>
  <si>
    <t>代碼</t>
  </si>
  <si>
    <t>名稱</t>
  </si>
  <si>
    <t>1</t>
  </si>
  <si>
    <t>0</t>
  </si>
  <si>
    <t>一般行政計畫</t>
  </si>
  <si>
    <t>2</t>
  </si>
  <si>
    <t>Line官方帳號計畫</t>
  </si>
  <si>
    <t>9</t>
  </si>
  <si>
    <t>預備金</t>
  </si>
  <si>
    <t>3</t>
  </si>
  <si>
    <t>4</t>
  </si>
  <si>
    <t>臺灣大學花蓮光復賑災補助計劃</t>
  </si>
  <si>
    <t>5</t>
  </si>
  <si>
    <t>性別平等工作坊</t>
  </si>
  <si>
    <t>生理用品交換站暨月經議題倡議計畫</t>
  </si>
  <si>
    <t>性別樹洞</t>
  </si>
  <si>
    <t>台大校內同志大遊行</t>
  </si>
  <si>
    <t>專欄文章藉親密關係面向及女性主義視角</t>
  </si>
  <si>
    <t>6</t>
  </si>
  <si>
    <t>愛在校園蔓延時_性工坊午餐live podcast活動</t>
  </si>
  <si>
    <t>轉型正義組</t>
  </si>
  <si>
    <t>社群經營【轉型正義小組社群經營】</t>
  </si>
  <si>
    <t>走讀活動【白恐電影賞析：人權奮鬥的記憶傳承】</t>
  </si>
  <si>
    <t>永續組</t>
  </si>
  <si>
    <t>從剩食減量到永續發展：校園綠色行動計畫</t>
  </si>
  <si>
    <t>本土語言小組</t>
  </si>
  <si>
    <t>講座 〈 台語新生代 台語新聞自媒體與吟詩冠軍經驗分享〉</t>
  </si>
  <si>
    <t>台語文課程講座</t>
  </si>
  <si>
    <t>社群經營【本土語言小組社群經營】</t>
  </si>
  <si>
    <t>工作坊【GIS重製部落地名】</t>
  </si>
  <si>
    <t>114學年度臺大電影節系列活動—短片影展</t>
  </si>
  <si>
    <t>114學年度臺大電影節系列活動—長片影展</t>
  </si>
  <si>
    <t>114學年度臺大電影節工作團隊內部培力</t>
  </si>
  <si>
    <t>2025 Fall Open House NTUs 計畫</t>
  </si>
  <si>
    <t>7</t>
  </si>
  <si>
    <t>8</t>
  </si>
  <si>
    <t>權益組</t>
  </si>
  <si>
    <t>Foreign Student Conference</t>
  </si>
  <si>
    <t>活動組</t>
  </si>
  <si>
    <t>Make &amp; Taste</t>
  </si>
  <si>
    <t>NTUSADIA X FFH Game Night</t>
  </si>
  <si>
    <t>全校網際網路服務體驗改善專案計畫</t>
  </si>
  <si>
    <t>一般立法計畫</t>
  </si>
  <si>
    <t xml:space="preserve">成大學生會赴臺大交流計畫	</t>
  </si>
  <si>
    <t>議事資料整理暨系統維護計畫</t>
  </si>
  <si>
    <t>一般司法計畫</t>
  </si>
  <si>
    <t>期入預算附屬表</t>
  </si>
  <si>
    <t>2025年9月22日至2026年3月14日</t>
  </si>
  <si>
    <t>本期間</t>
  </si>
  <si>
    <t>委員會意見｜大會審議結果</t>
  </si>
  <si>
    <t>Z01</t>
  </si>
  <si>
    <t>會費收入</t>
  </si>
  <si>
    <t>依目前中信帳戶撥款數字列數。</t>
  </si>
  <si>
    <t>Z04</t>
  </si>
  <si>
    <t>公關贊助收入</t>
  </si>
  <si>
    <t>Z99</t>
  </si>
  <si>
    <t>前期轉入</t>
  </si>
  <si>
    <t>依中信、郵局截至9/22帳列數</t>
  </si>
  <si>
    <t>Z05</t>
  </si>
  <si>
    <t>贊助— 校方</t>
  </si>
  <si>
    <t>待審核</t>
  </si>
  <si>
    <t>贊助— 領導學程 呂芳銘老師</t>
  </si>
  <si>
    <t>贊助— 陳志榮先生</t>
  </si>
  <si>
    <t>贊助— 扶輪青年社</t>
  </si>
  <si>
    <t>Z52</t>
  </si>
  <si>
    <t>學校專案補助</t>
  </si>
  <si>
    <t>(1)國立臺灣大學第一學生活動中心</t>
  </si>
  <si>
    <t>餐廳藝文回饋金（114年度下半年與</t>
  </si>
  <si>
    <t>115年度上半年各四萬，總計八萬）</t>
  </si>
  <si>
    <t>(2)國立臺灣大學學務處課外活動指</t>
  </si>
  <si>
    <t>導組：臺大電影節專案補助（114</t>
  </si>
  <si>
    <t>年度下半年與115年度上半年各四</t>
  </si>
  <si>
    <r>
      <rPr>
        <sz val="12"/>
        <color rgb="FF000000"/>
        <rFont val="Source Sans Pro"/>
        <family val="2"/>
      </rPr>
      <t>萬，總計八萬）</t>
    </r>
  </si>
  <si>
    <t>社群觸及關注提升作業</t>
  </si>
  <si>
    <t>(1) 學務處課外組選務常態補助。</t>
  </si>
  <si>
    <t>選務行政計畫</t>
  </si>
  <si>
    <t>選舉身份查驗電子化計畫</t>
  </si>
  <si>
    <t>全校網際網路服務體驗改善專案</t>
  </si>
  <si>
    <t xml:space="preserve">友校學生自治機關交流計劃         </t>
  </si>
  <si>
    <t>校園民主論壇</t>
  </si>
  <si>
    <t xml:space="preserve"> </t>
  </si>
  <si>
    <t>期出預算附屬表</t>
  </si>
  <si>
    <t>A02</t>
  </si>
  <si>
    <t>工作費</t>
  </si>
  <si>
    <t>副會長工作費：每小時 200 元，以每週 3小時計，共 23 週，共 2 名。共計200*3*23*2=27,600元。</t>
  </si>
  <si>
    <t>會長秘書工作費：每小時 200 元，以每週 3 小時計，共 23 週，共 2 名。共計200*3*23*2=27,600元。</t>
  </si>
  <si>
    <t>B01</t>
  </si>
  <si>
    <t>行政費</t>
  </si>
  <si>
    <t>依作業要點編列，會長、兩位副會長行政費，本期間以6個月計算，1,000元 / 月。共計1,000*6*3=18,000元</t>
  </si>
  <si>
    <t>B05</t>
  </si>
  <si>
    <t>印刷費</t>
  </si>
  <si>
    <t>臨時需印製各類文件、海報之費用。</t>
  </si>
  <si>
    <t>B20</t>
  </si>
  <si>
    <t>承接 37-3 活大 237 會辦垃圾清運效益有所成果，本會期預計進一步請打掃公司清掃活大 237 空間將此空間之討論功能效益進一步擴展，同時為對應解決牆壁粉刷剝落之情形進行相關牆壁粉刷之維護任務。此外，也針對大一女地下室之學生會空間，一併進行垃圾清運與空間清掃之任務。</t>
  </si>
  <si>
    <t>B99</t>
  </si>
  <si>
    <t>雜支</t>
  </si>
  <si>
    <t>依作業要點編列，每一計畫不超過500元。</t>
  </si>
  <si>
    <t>C01</t>
  </si>
  <si>
    <t>設備費</t>
  </si>
  <si>
    <t>(1) 擬添購會辦投影機，共10,000元。</t>
  </si>
  <si>
    <t>(2) 擬添購會辦水冷氣，共5,000元。</t>
  </si>
  <si>
    <t>帳號經營費用：每小時工資200元，每月工時8小時，共6個月。共計200*8*6=9,600元。</t>
  </si>
  <si>
    <t>B08</t>
  </si>
  <si>
    <t>廣告費</t>
  </si>
  <si>
    <t>線下宣傳：海報與立板印製，共4張，估計1,000元。</t>
  </si>
  <si>
    <t>B12</t>
  </si>
  <si>
    <t>資訊服務使用費</t>
  </si>
  <si>
    <t>Line官方帳號月費：使用中用量服務，估計4,800元</t>
  </si>
  <si>
    <t>依預算法編列單位預算 5%。</t>
  </si>
  <si>
    <t>(1) 活動場地組：預計60小時</t>
  </si>
  <si>
    <t>(2) 空間財產組：預計30小時</t>
  </si>
  <si>
    <t>(3) 文書檔案組：預計10小時</t>
  </si>
  <si>
    <t>每小時200元，共100小時，共計200*100=20,000元。</t>
  </si>
  <si>
    <t>依作業要點編列，本期間以6個月計算，500元 / 月。共計500*6=3,000元</t>
  </si>
  <si>
    <t>B04</t>
  </si>
  <si>
    <t>耗材費</t>
  </si>
  <si>
    <t>預計作為全會耗材購置使用</t>
  </si>
  <si>
    <t>作為場地活動申請文件之印刷費</t>
  </si>
  <si>
    <t>B06</t>
  </si>
  <si>
    <t>場地費</t>
  </si>
  <si>
    <t>各部門例會之場地費，本會期擬開例會之部門為資訊部、國際部、學術部轉型正義小組、學術部性別平等工作坊、學術部本土語言小組、文化部台大電影節</t>
  </si>
  <si>
    <t>B14</t>
  </si>
  <si>
    <t>手續費</t>
  </si>
  <si>
    <t>匯款給承包廠商之手續費用</t>
  </si>
  <si>
    <t>B15</t>
  </si>
  <si>
    <t>設備租借費</t>
  </si>
  <si>
    <t>租用設備臨時使用之費用</t>
  </si>
  <si>
    <t>依作業要點編列，每一計畫不超過 500 元。</t>
  </si>
  <si>
    <t>設備維修添購，老舊物品汰換</t>
  </si>
  <si>
    <t>C02</t>
  </si>
  <si>
    <t>修繕費</t>
  </si>
  <si>
    <t>擬維修會辦內MA-708擴音器</t>
  </si>
  <si>
    <t xml:space="preserve">(1)：副部長1人處理核銷費用，每週約1小時，共23週，共計200*23=4,600。 </t>
  </si>
  <si>
    <t xml:space="preserve">(2)：副部長1人處理出納費用，每週約1小時，共23週，共計200*23=4,600。 </t>
  </si>
  <si>
    <t xml:space="preserve">(3)：部長處理預決算編造之費用，約46小時，共計200*46=9,200。 </t>
  </si>
  <si>
    <t>資通服務使用費</t>
  </si>
  <si>
    <t>Google雲端硬碟儲存空間續約費，採100GB方案，續約一年。共計650元。</t>
  </si>
  <si>
    <t>金融往來之手續費，轉帳每次15元或30元，共300元。</t>
  </si>
  <si>
    <t>陳情工作人員，每小時 200 元，每案陳情約需耗時 6 小時，本會期預計共收 16 案，共 96 小時。共計200*96=19,200 元。</t>
  </si>
  <si>
    <t>B10</t>
  </si>
  <si>
    <t>差旅費</t>
  </si>
  <si>
    <t>每人補助台北-光復來回車票1,400，若停留超過一天，每天會多補助光復-花蓮的來回車票錢198。因採實報實銷與為保留業務彈性，共計213,000元。</t>
  </si>
  <si>
    <t>B16</t>
  </si>
  <si>
    <t>保險費</t>
  </si>
  <si>
    <t>保險費一天137元，因每人停留時間不一，故以天數計算，共173天。共計137*173=23,701元。</t>
  </si>
  <si>
    <t>依作業要點編列，本期間以6個月計算，本單位有1位部長。共計500*6=3,000元</t>
  </si>
  <si>
    <t>生理用品交換站維護費：每小時200元，預計投入8小時。共計200*8=1,600 元。</t>
  </si>
  <si>
    <t>A03</t>
  </si>
  <si>
    <t>稿費</t>
  </si>
  <si>
    <t>圖卡製作：預計將製作兩張圖卡用於更新校園生理用品交換站站點資訊維護，一張圖 100 元，共計 200元。</t>
  </si>
  <si>
    <t>生理用品購買：預計購買衛生棉100包，一包二十片，共2,000片，分兩箱寄送。一箱運費60元，一包39 元，共計 39*100 + 60*2 =4,020 元。</t>
  </si>
  <si>
    <t>表單設計及活動執行：每小時200元，預計投入6小時。共計200*6=1,200元。</t>
  </si>
  <si>
    <t>(1)製圖費：預計第一期間將進行 5 次的社群平台圖文宣傳，一張圖 300 元，共計300*5=1500元。</t>
  </si>
  <si>
    <t>(2)投稿內容回覆及貼文文案撰寫：預計第一期間將發布 5 次的回覆貼文，每篇貼文預計1000字，每字0.8元。共計800*5=4,000元。</t>
  </si>
  <si>
    <t>(1)聯絡及執行費用：每小時200元，預計投入2小時。共計200*2=400 元。</t>
  </si>
  <si>
    <t>(2)活動籌辦費用：每小時200元，預計投入5小時。共計200*5=1,000元</t>
  </si>
  <si>
    <t>(1)製圖費：遊行議題倡議，1 張圖 300 元，共6張，共計300*6=1,800元。</t>
  </si>
  <si>
    <t>(2)撰稿費用：撰稿費用：參與遊行的協辦單位共六個，每個協辦單位發 1 篇貼文，每篇貼文 800 元，共計800*6=4,800元。</t>
  </si>
  <si>
    <t>(3)宣傳與邀請文：活動公告、宣傳文案、全校信、邀請友社組織信與講師邀請信，每篇文 500 字，預計五篇，每字 0.8 元，共計2,000元。</t>
  </si>
  <si>
    <t>(4)主視覺設計：活動宣傳設計製圖，一張圖 300 元，共 300 元。</t>
  </si>
  <si>
    <t>A04</t>
  </si>
  <si>
    <t>鐘點費</t>
  </si>
  <si>
    <t>鐘點費—講師費（校內）：預計共邀 2 人，每場 2 小時，每小時 1,000 元，共計1,000*2*2=4,000元</t>
  </si>
  <si>
    <t>(1)海報：宣傳海報印刷一式，共500元。</t>
  </si>
  <si>
    <t>(2)張貼用活動傳單：一份彩色印刷活動傳單初估費用需 50 元，預計將張貼 10 份，共計50*10=500 元。</t>
  </si>
  <si>
    <t>(3)標語手板：標語手板製作，五張，一張300元。共計300*5=1,500元。</t>
  </si>
  <si>
    <t>專欄主題設計及活動執行：每小時200元，預計投入5小時。共計200*5=1,000元。</t>
  </si>
  <si>
    <t>(1)製圖費：預計將進行 6 次的社群平台配合圖文宣傳，一張圖 300 元，共計300*6=1,800元。</t>
  </si>
  <si>
    <t>(2)專欄文案撰寫：預計發布 6 次的貼文，每篇貼文 1500 字，每字 0.8 元，共計1500*0.8*6=7,200元</t>
  </si>
  <si>
    <t>(1)事前籌辦：每小時200元，預計投入5小時。共計200*5=1,000元。</t>
  </si>
  <si>
    <t>(2)當天主持、紀錄：每小時200元，預計投入2小時。共計200*2=400元。</t>
  </si>
  <si>
    <t>(1)稿費：活動前宣傳、活動後回顧貼文需要兩篇文案，預計共1000字，每字0.8元。共計1000*0.8*2=1,600元</t>
  </si>
  <si>
    <t>(2)製圖費：活動前宣傳、活動後回顧貼文共需要兩篇貼文的封面圖，每張製圖費300元。共計300*2=600元</t>
  </si>
  <si>
    <t>校內外專家學者對談鐘點費：本活動將邀請校外專家參與論壇討論，每位專家 1,000 元，共2位。共計2,000元。</t>
  </si>
  <si>
    <t>B02</t>
  </si>
  <si>
    <t>餐費</t>
  </si>
  <si>
    <t>餐食：本次活動透過提供餐盒吸引學生參加，預估有30位同學參加。共計120*30=3,600元。</t>
  </si>
  <si>
    <t>論壇場地費：本次活動需借用教室，教室借用費 700 元 1 次，共計700 元。</t>
  </si>
  <si>
    <t>轉型正義小組</t>
  </si>
  <si>
    <t xml:space="preserve"> 一般行政計畫</t>
  </si>
  <si>
    <t>(1)粉專管理費：每小時200元，預計投入6小時。共計200*6=1,200元。</t>
  </si>
  <si>
    <t>(2)社團管理費：每小時200元，預計投入2小時。共計200*2=400元。</t>
  </si>
  <si>
    <t>(1)貼文文案撰寫：預計將發布轉型正義科普主題文章、人權紀念日撰文以及活動宣傳 7 次的宣傳／ 回饋貼文，</t>
  </si>
  <si>
    <t xml:space="preserve">每篇貼文 800 字，每字 0.8 元，共計 4480 元。  </t>
  </si>
  <si>
    <t xml:space="preserve">(2)製圖費：預計將製作 21 張的社群平台圖卡，一張圖 300 元，共計 6,300 元。 </t>
  </si>
  <si>
    <t>(1)主視覺設計：執行此計劃所需投入時間為3小時，時薪200，共600元。</t>
  </si>
  <si>
    <t>(2)報名表單與票卷設計：執行此計劃所需投入時間為1小時，時薪200，共200元。</t>
  </si>
  <si>
    <t>(3)活動執行：初估執行此計劃所需投入時間為12小時，時薪200，共2,400元。</t>
  </si>
  <si>
    <t>(1)貼文文案撰寫：預計將發布2次的宣傳貼文，每篇貼文約500字，每字0.8元，共計800元。</t>
  </si>
  <si>
    <t>(2)製圖費：預計將進行10張的社群圖卡宣傳，每張圖50元，共計500元。</t>
  </si>
  <si>
    <t>百老匯影城30-40人影廳，預估6000元。</t>
  </si>
  <si>
    <t>預計活動期間需印製40張票卷，每份10元，共400元。</t>
  </si>
  <si>
    <t>專案執行期間其他支出，預計花費500元。</t>
  </si>
  <si>
    <t>永續執行組</t>
  </si>
  <si>
    <t>(1)調查研究：製作並發放問卷，預計工作時間6小時，共計200*6=1,200元</t>
  </si>
  <si>
    <t>(2)調查研究：彙整資料，整理問卷結果並製作圖文與師生分享問卷結果，預計工作時間4小時，共計200*4=800元。</t>
  </si>
  <si>
    <t>(3)教育推廣：講座工作人員，舉辦1場講座+工作坊5小時，需要2位工作人員，共200*5*2=2,000元</t>
  </si>
  <si>
    <t>講座：邀請校外講師2位進行講座，預計1位講者2小時，舉辦1場，共2,000*2*2=8,000元</t>
  </si>
  <si>
    <t>舉辦9/29(一)永續顧問工作坊因時長約8小時因此需申請40人之餐費預算(含講師、參與者、工作人員)。一人餐費100元，共40*100=4,000元</t>
  </si>
  <si>
    <t>調查研究、教育推廣及參與永續展覽期間印製海報及宣傳單等，預計花費600元。</t>
  </si>
  <si>
    <t>舉辦9/29(一)永續顧問工作坊因校內場地未開放，借用校外場地預計9,800元</t>
  </si>
  <si>
    <t>專案執行期間其他支出，預計花費500元</t>
  </si>
  <si>
    <t>每小時200元，預計投入16小時，共計200*16=3,200元</t>
  </si>
  <si>
    <t>(1)製圖費：預計將發布1次宣傳貼文，每篇貼文500字，每字0.8元，共計400元</t>
  </si>
  <si>
    <t>(2)製圖費：預計將進行3張的社群圖卡宣傳，每張圖200元，共計200*3=600元。</t>
  </si>
  <si>
    <t>執行此計畫之場地租費為1次，每次四小時700元，共700元。</t>
  </si>
  <si>
    <t>每小時200元，預計投入8小時，共計200*8=1,600元。</t>
  </si>
  <si>
    <t>(1)稿費：預計將發布 1 次的宣傳／回饋貼文，每篇貼文 500 字，每字 0.8 元，共計 400 元</t>
  </si>
  <si>
    <t>(2)製圖費：預計將進行 3 張的社群平台圖卡，一張圖 200 元，共計200*3= 600元。</t>
  </si>
  <si>
    <t>預計執行此計畫之場地租費為五次，每次四小時 700 元，共計700*5=3,500 元。</t>
  </si>
  <si>
    <t>每小時200元，預計投入7小時，共計200*7=1,400元。</t>
  </si>
  <si>
    <t>(1)稿費：預計將發布 7 次的宣傳貼文，每篇貼文 500 字，每字 0.8 元，共計400*7=2,800元。</t>
  </si>
  <si>
    <t>(2)製圖費：預計將進行 7張的社群圖卡宣傳，每張圖 200 元，共計200*7=1,400元。</t>
  </si>
  <si>
    <t>每小時200元，預計投入10小時，共計200*10=2,000元。</t>
  </si>
  <si>
    <t>(1)稿費：預計將發布1次的宣傳貼文，每篇貼文500字，每字0.8元，共計400元</t>
  </si>
  <si>
    <t>(2)製圖費：預計將進行3張的社群圖卡宣傳，每張圖200元，共計600元。</t>
  </si>
  <si>
    <t>預計邀請 1 位講者進行演講 24 小時，每小時 700 元，一天6小時，共四天，共24小時。共計 700*6*4=16,800 元。</t>
  </si>
  <si>
    <t>依預算法編列單位預算5%</t>
  </si>
  <si>
    <t>講師費：邀請3位專業講師為電影節工作團隊進行電影行銷、發行、影展辦理等活動之培力，每場1,500元，共2場。共計2*1,500=3,000元。</t>
  </si>
  <si>
    <t>講師費：邀請專業講師在影展期間舉行映後座談，一場2,000元，共4場，共計2,000*4=8,000元。</t>
  </si>
  <si>
    <t>(1)印刷費：海報。以校內經典印刷報價計算：「150P鋼板紙，A1，單面彩色印刷，8張」估價結果為1,600元。</t>
  </si>
  <si>
    <t>(2)印刷費：酷卡。以校內經典印刷報價計算：「一級卡，A6，彩色雙面印刷，600張」估價結果為2,000元。</t>
  </si>
  <si>
    <t>(3)印刷費：場次表。以校內經典印刷報價計算：「12.1x8.9cm，120磅雪銅紙。彩色單面印刷，1張」估價結果為378元。</t>
  </si>
  <si>
    <t>影展前兩週於社群媒體投放廣告一次，共1,200元。</t>
  </si>
  <si>
    <t>B09</t>
  </si>
  <si>
    <t>公關費</t>
  </si>
  <si>
    <t>與片商信件往來之郵資，共180元。</t>
  </si>
  <si>
    <t>B13</t>
  </si>
  <si>
    <t>授權費</t>
  </si>
  <si>
    <t>影片授權費：預計放映十場，每場以6,000元計，共計6,000*10=60,000元。</t>
  </si>
  <si>
    <t>授權費匯款手續費：以每次15元計算，預計放映四十部短片，共計40*15=600元。</t>
  </si>
  <si>
    <t>講師費：邀請專業講師在影展期間舉行映後座談，一場2,000元，共4場。共計2,000*4=8,000元。</t>
  </si>
  <si>
    <t>於影展開始前在小福擺攤，場地布置與文宣品耗材，共1,500元。</t>
  </si>
  <si>
    <t xml:space="preserve">(1)印刷費：海報。以校內經典印刷報價計算：「150P鋼板紙，A1，單面彩色印刷，8張」估價結果為1,600元。 </t>
  </si>
  <si>
    <t>(4)印刷費：影展手冊。以校內經典印刷報價計算：「A5，120磅雪銅紙。彩色雙面印刷，150本」估價結果為9,000元。</t>
  </si>
  <si>
    <t>影片授權費：預計放映十場，每場一部長片，每部片以9,200元計，共計10*9,200=92,000元。</t>
  </si>
  <si>
    <t>授權費匯款手續費：以每次15元計算，預計放映十部片，共計10*15=150元。</t>
  </si>
  <si>
    <t>(1)行政聯絡：接洽空間管理單位所需工作時間。時薪200元，3位負責人工時共40小時。共計200*40=8,000元。</t>
  </si>
  <si>
    <t>(2)活動工作：場勘、文獻整理、文案撰寫、導覽稿撰寫、活動側記等。時薪200元，人數6人，一人10小時。共計200*10*6=12,000元。</t>
  </si>
  <si>
    <t>(3)行政工作：製作表單、收發信件、緊急處理。時薪200元，3人，一人10小時。共計200*10*3=6,000元。</t>
  </si>
  <si>
    <t>(4)活動導覽：200元/小時，約16小時。共計200*16=3,200元。</t>
  </si>
  <si>
    <t>(5)導覽培訓：200元/小時，約16小時。共計200*16=3,200元。</t>
  </si>
  <si>
    <t>講師費：邀請專業講師演講或實地導覽，一場2,000元，共3場。共計2,000*3=6,000元。</t>
  </si>
  <si>
    <t>工作坊材料費：材料費配合「園藝分場」辦理，預計一人元材料費150，約20人，共計150*20=3,000元。</t>
  </si>
  <si>
    <t>導覽空間：租借台大闈場一次2,800元，共計2,800元。</t>
  </si>
  <si>
    <t>(1)粉專經營工作費、特約商家簽約工作費：45小時（每日20分鐘），每小時200元。共計200*45=9,000元。</t>
  </si>
  <si>
    <t>(2)粉專發文、製圖稿費粉專：30篇，每篇300，共計300*30=9,000元。</t>
  </si>
  <si>
    <t>投放每日廣告費用150元，共90天。共計150*90=13,500元。</t>
  </si>
  <si>
    <t>(1)選務組：選舉公告撰寫、選務流程規劃與執行，預計12.5小時。</t>
  </si>
  <si>
    <t>(2)票務組：選票設計與印刷、選票章戳作業，預計12.5小時。</t>
  </si>
  <si>
    <t>(3)人資組：選務人員召募作業、篩選錄取作業、選務人員訓練流程規劃與執行、選務人員管理與績效評估，預計12.5小時。</t>
  </si>
  <si>
    <t>(4)場地組：選舉場地挑選、整併與勘查，並與課外組協調，預計7.5小時。</t>
  </si>
  <si>
    <t>(5)財務組：本會請款資料搜集與整理、學生會請款作業、課外組補助請款作業，預計15小時。</t>
  </si>
  <si>
    <t>共計60小時，每小時200元。共計200*60=12,000元</t>
  </si>
  <si>
    <t>訴訟業務諮詢費：500元/次，預計1次。共計500元。</t>
  </si>
  <si>
    <t>(1)會議所需之正餐餐點，預計5次會議，每次15人，共75人次。</t>
  </si>
  <si>
    <t>(2)選務人員訓練本會成員所需之餐點，預計2次訓練，每次7人，共14人次。</t>
  </si>
  <si>
    <t>共計89人次。依作業要點編列：每人每次100元。共計89*100=8,900元</t>
  </si>
  <si>
    <t>(1)選務所需之文件印製，如行政文書、訓練教材、選票、名冊及各類宣傳文件等，參考前屆同期間預計共20,000元。</t>
  </si>
  <si>
    <t>(2)本期印刷費不用於印製摸彩券。</t>
  </si>
  <si>
    <t>依作業要點編列。</t>
  </si>
  <si>
    <t>A01</t>
  </si>
  <si>
    <t>臨時工資</t>
  </si>
  <si>
    <t>(1)選舉當日本會人員：200元/時，預計14人，工時預計16小時(08:00~00:00)，超時前2小時267元/時，超時後6小時334元/時，共57,932元。</t>
  </si>
  <si>
    <t>(2)投票所選務人員：200元/時，預計30人，工時預估9小時(08:00~18:00，含休息1小時)，超時前1小時267元/時，共56,010元。</t>
  </si>
  <si>
    <t>(3)開票所選務人員：200元/時，預計10人，工時預計5小時(18:30~23:30)，共10,000元。</t>
  </si>
  <si>
    <t>(4)選務前置作業：200元/時，預計14人，工時預計8小時，共22,400元。</t>
  </si>
  <si>
    <t>(5)投票所主任選務人員前置作業：200元/時，預計10人，工時預計2小時，共4,000元。</t>
  </si>
  <si>
    <t>(6)選務善後作業：400元/時，預計15人，工時預計3小時，共18,000元。</t>
  </si>
  <si>
    <t>(7)選舉績效獎金：以時段計（投票計為上午時段及下午時段二時段，開票計為一時段），500元/時段，預計112人次，共56,000元。</t>
  </si>
  <si>
    <t>A91</t>
  </si>
  <si>
    <t>勞保費</t>
  </si>
  <si>
    <t>依作業要點編列，臨時工資所需之勞保費，參考去年同期，共5,000元。</t>
  </si>
  <si>
    <t>A92</t>
  </si>
  <si>
    <t>勞退費</t>
  </si>
  <si>
    <t>依作業要點編列，臨時工資所需之勞退費，參考去年同期，預計2,000元。</t>
  </si>
  <si>
    <t>(1)選舉前置作業餐費：預計1餐，預計15人，共15人次</t>
  </si>
  <si>
    <t>(2)投票所餐費：預計1餐，預計55人，共55人次。</t>
  </si>
  <si>
    <t>(3)開票所餐費：預計1餐，預計30人，共30人次。</t>
  </si>
  <si>
    <t>共計100人次。依作業要點編列：每人每次100元。共計10,000元</t>
  </si>
  <si>
    <t>選舉用具：預計5,000元。</t>
  </si>
  <si>
    <t>(1)合作社大福場地年費：18,000。本次年費效期至114-2學期結束。</t>
  </si>
  <si>
    <t>(2)合作社大福積欠場地費：6,000，清償113-2場地費。</t>
  </si>
  <si>
    <t>B11</t>
  </si>
  <si>
    <t>運費</t>
  </si>
  <si>
    <t>票匭運費：租用車輛搬運票匭往返各投票所與開票所及選票運送，參考去年同期預計11,000元。</t>
  </si>
  <si>
    <t>選舉當日各投票所即時通訊用對講機，預計10台，預計單價150/日，共計10台/日。共計1,500元</t>
  </si>
  <si>
    <t>租用貨車所需保險費，含事故雙方車損、駕駛人及乘客傷亡。預計3日。</t>
  </si>
  <si>
    <t>B18</t>
  </si>
  <si>
    <t>訓練費</t>
  </si>
  <si>
    <t>選務人員訓練費：200元/時，含候補預計每場40人，預計2場，每場2小時，共160人時場。</t>
  </si>
  <si>
    <t>系統開發工作費，每小時250元，預計100小時。</t>
  </si>
  <si>
    <t>學生證感應設備採購，預計單價300元，預計共10台。</t>
  </si>
  <si>
    <t>幹部工作費：5人，每人2小時/週，200/時，共200*2*16*5= 32,000元。</t>
  </si>
  <si>
    <t>B03</t>
  </si>
  <si>
    <t>茶點費</t>
  </si>
  <si>
    <t>依作業要點編列，本期間以2次計算，每次25人，75元 / 人次。共計75*25*2=3,750元。</t>
  </si>
  <si>
    <t>鐘點費 – 翻譯費：翻譯時長為 3 小時，以2人、每小時1,500元計算，共計1,500*3*2 = 9,000元。</t>
  </si>
  <si>
    <t>參與者餐費：預計有70位參與者，以每人120元估算，共計120*70 = 8,400元</t>
  </si>
  <si>
    <t>海報、講義及其他紙本文件：海報、講義、報到表等，共2,500元。</t>
  </si>
  <si>
    <t>第一會議室：會議預計租借第一會議室作為會場，共3,000元。</t>
  </si>
  <si>
    <t>B07</t>
  </si>
  <si>
    <t>獎品費</t>
  </si>
  <si>
    <t>填寫問卷者：抽取10人發放Care Bear 托特包，一個單價580元，共計5,800元。</t>
  </si>
  <si>
    <t>NTUSADIA X Foreign Student Association Gathering</t>
  </si>
  <si>
    <t>(已審議通過)</t>
  </si>
  <si>
    <r>
      <rPr>
        <sz val="12"/>
        <color rgb="FF000000"/>
        <rFont val="Arial"/>
        <family val="2"/>
      </rPr>
      <t>工作費：</t>
    </r>
    <r>
      <rPr>
        <sz val="12"/>
        <color rgb="FF000000"/>
        <rFont val="Arial"/>
        <family val="2"/>
      </rPr>
      <t xml:space="preserve">18:00 </t>
    </r>
    <r>
      <rPr>
        <sz val="12"/>
        <color rgb="FF000000"/>
        <rFont val="Arial"/>
        <family val="2"/>
      </rPr>
      <t>場佈開始至</t>
    </r>
    <r>
      <rPr>
        <sz val="12"/>
        <color rgb="FF000000"/>
        <rFont val="Arial"/>
        <family val="2"/>
      </rPr>
      <t xml:space="preserve"> 21:00 </t>
    </r>
    <r>
      <rPr>
        <sz val="12"/>
        <color rgb="FF000000"/>
        <rFont val="Arial"/>
        <family val="2"/>
      </rPr>
      <t>場復結束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Arial"/>
        <family val="2"/>
      </rPr>
      <t>同時工作人數</t>
    </r>
    <r>
      <rPr>
        <sz val="12"/>
        <color rgb="FF000000"/>
        <rFont val="Arial"/>
        <family val="2"/>
      </rPr>
      <t xml:space="preserve"> 2 </t>
    </r>
    <r>
      <rPr>
        <sz val="12"/>
        <color rgb="FF000000"/>
        <rFont val="Arial"/>
        <family val="2"/>
      </rPr>
      <t>人，以法定基本工資每小時</t>
    </r>
    <r>
      <rPr>
        <sz val="12"/>
        <color rgb="FF000000"/>
        <rFont val="Arial"/>
        <family val="2"/>
      </rPr>
      <t xml:space="preserve">200 </t>
    </r>
    <r>
      <rPr>
        <sz val="12"/>
        <color rgb="FF000000"/>
        <rFont val="Arial"/>
        <family val="2"/>
      </rPr>
      <t>元計，總共</t>
    </r>
    <r>
      <rPr>
        <sz val="12"/>
        <color rgb="FF000000"/>
        <rFont val="Arial"/>
        <family val="2"/>
      </rPr>
      <t xml:space="preserve"> 2*3*200=1,200 </t>
    </r>
    <r>
      <rPr>
        <sz val="12"/>
        <color rgb="FF000000"/>
        <rFont val="Arial"/>
        <family val="2"/>
      </rPr>
      <t>元。</t>
    </r>
  </si>
  <si>
    <r>
      <rPr>
        <sz val="12"/>
        <color rgb="FF000000"/>
        <rFont val="Arial"/>
        <family val="2"/>
      </rPr>
      <t>參與者餐費：預計有</t>
    </r>
    <r>
      <rPr>
        <sz val="12"/>
        <color rgb="FF000000"/>
        <rFont val="Arial"/>
        <family val="2"/>
      </rPr>
      <t>30</t>
    </r>
    <r>
      <rPr>
        <sz val="12"/>
        <color rgb="FF000000"/>
        <rFont val="Arial"/>
        <family val="2"/>
      </rPr>
      <t>位參與者，以每人</t>
    </r>
    <r>
      <rPr>
        <sz val="12"/>
        <color rgb="FF000000"/>
        <rFont val="Arial"/>
        <family val="2"/>
      </rPr>
      <t>120</t>
    </r>
    <r>
      <rPr>
        <sz val="12"/>
        <color rgb="FF000000"/>
        <rFont val="Arial"/>
        <family val="2"/>
      </rPr>
      <t>元估算，共計</t>
    </r>
    <r>
      <rPr>
        <sz val="12"/>
        <color rgb="FF000000"/>
        <rFont val="Arial"/>
        <family val="2"/>
      </rPr>
      <t>30*120=3,600</t>
    </r>
    <r>
      <rPr>
        <sz val="12"/>
        <color rgb="FF000000"/>
        <rFont val="Arial"/>
        <family val="2"/>
      </rPr>
      <t>元</t>
    </r>
  </si>
  <si>
    <t>耗材費: 活動當天使用之餐具，概估共 600元。</t>
  </si>
  <si>
    <t>3樓沃思空間(coSPACE)：會議預計租借三樓沃思空間(coSPACE)作為會議場地，共1800元</t>
  </si>
  <si>
    <t>依作業要點編列，每一計畫不超過500元</t>
  </si>
  <si>
    <t>(1)粉專製圖：300/張，預計1張，共300元。</t>
  </si>
  <si>
    <t>(2)文字稿費(長：300字）：300元/篇，預估1篇，共300元。</t>
  </si>
  <si>
    <t>參與者餐費：預計有40位參與者與10位人員，以每人100元估算，共100*50=5,000元</t>
  </si>
  <si>
    <t>活動用品道具：活動使用的 photo booth 材料、遊戲設備、卡片等，概估共1,000元。</t>
  </si>
  <si>
    <t>海報文宣印製：宣傳海報、報到表等，概估共200元。</t>
  </si>
  <si>
    <t>參與者餐費：預計有60位參與者與人員，以每人100元估算，共100*60= 6,000元</t>
  </si>
  <si>
    <t>活動使用的 photo booth 材料、遊戲設備、卡片等，概估共500元。</t>
  </si>
  <si>
    <t>海報文宣印製：宣傳海報、報到表等，概估共500元</t>
  </si>
  <si>
    <t>新生（夜間）：預計租借新生教室（60人）平日夜間時段，共700元。</t>
  </si>
  <si>
    <t>Make &amp; Gather</t>
  </si>
  <si>
    <r>
      <rPr>
        <sz val="12"/>
        <color rgb="FF000000"/>
        <rFont val="Arial"/>
        <family val="2"/>
      </rPr>
      <t>(1)</t>
    </r>
    <r>
      <rPr>
        <sz val="12"/>
        <color rgb="FF000000"/>
        <rFont val="Arial"/>
        <family val="2"/>
      </rPr>
      <t>海報設計費－應本活動之宣傳需求，需製作宣傳海報。惟本部社群媒體組尚在招募階段，且無留任幹部承接相關職務，因此需尋求外部支援，設計大約需</t>
    </r>
    <r>
      <rPr>
        <sz val="12"/>
        <color rgb="FF000000"/>
        <rFont val="Arial"/>
        <family val="2"/>
      </rPr>
      <t>5</t>
    </r>
    <r>
      <rPr>
        <sz val="12"/>
        <color rgb="FF000000"/>
        <rFont val="Arial"/>
        <family val="2"/>
      </rPr>
      <t>小時</t>
    </r>
    <r>
      <rPr>
        <sz val="12"/>
        <color rgb="FF000000"/>
        <rFont val="Arial"/>
        <family val="2"/>
      </rPr>
      <t xml:space="preserve"> (</t>
    </r>
    <r>
      <rPr>
        <sz val="12"/>
        <color rgb="FF000000"/>
        <rFont val="Arial"/>
        <family val="2"/>
      </rPr>
      <t>時薪</t>
    </r>
    <r>
      <rPr>
        <sz val="12"/>
        <color rgb="FF000000"/>
        <rFont val="Arial"/>
        <family val="2"/>
      </rPr>
      <t>200)</t>
    </r>
    <r>
      <rPr>
        <sz val="12"/>
        <color rgb="FF000000"/>
        <rFont val="Arial"/>
        <family val="2"/>
      </rPr>
      <t>，共需</t>
    </r>
    <r>
      <rPr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>位，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>概估共</t>
    </r>
    <r>
      <rPr>
        <sz val="12"/>
        <color rgb="FF000000"/>
        <rFont val="Arial"/>
        <family val="2"/>
      </rPr>
      <t xml:space="preserve"> 1,000</t>
    </r>
    <r>
      <rPr>
        <sz val="12"/>
        <color rgb="FF000000"/>
        <rFont val="Arial"/>
        <family val="2"/>
      </rPr>
      <t>元。</t>
    </r>
  </si>
  <si>
    <t>(2) 打卡道具費－應本活動之打卡需求，需製作製作打卡道具。惟本部社群媒體組尚在招募階段，且無留任幹部承接相關職務，因此需尋求外部支援，設計大約需5小時 (時薪200)，共需1位， 概估共 1,000元。</t>
  </si>
  <si>
    <t>文字稿費(長：300字）：300元/篇，預估1篇，共300元。</t>
  </si>
  <si>
    <r>
      <rPr>
        <sz val="12"/>
        <color rgb="FF000000"/>
        <rFont val="Arial"/>
        <family val="2"/>
      </rPr>
      <t>鐘點費</t>
    </r>
    <r>
      <rPr>
        <sz val="12"/>
        <color rgb="FF000000"/>
        <rFont val="Arial"/>
        <family val="2"/>
      </rPr>
      <t xml:space="preserve"> – </t>
    </r>
    <r>
      <rPr>
        <sz val="12"/>
        <color rgb="FF000000"/>
        <rFont val="Arial"/>
        <family val="2"/>
      </rPr>
      <t>工作坊講師費：工作坊講師時長為</t>
    </r>
    <r>
      <rPr>
        <sz val="12"/>
        <color rgb="FF000000"/>
        <rFont val="Arial"/>
        <family val="2"/>
      </rPr>
      <t xml:space="preserve"> 3 </t>
    </r>
    <r>
      <rPr>
        <sz val="12"/>
        <color rgb="FF000000"/>
        <rFont val="Arial"/>
        <family val="2"/>
      </rPr>
      <t>小時，以每小時</t>
    </r>
    <r>
      <rPr>
        <sz val="12"/>
        <color rgb="FF000000"/>
        <rFont val="Arial"/>
        <family val="2"/>
      </rPr>
      <t>600</t>
    </r>
    <r>
      <rPr>
        <sz val="12"/>
        <color rgb="FF000000"/>
        <rFont val="Arial"/>
        <family val="2"/>
      </rPr>
      <t>元計算</t>
    </r>
  </si>
  <si>
    <r>
      <rPr>
        <sz val="12"/>
        <color rgb="FF000000"/>
        <rFont val="Arial"/>
        <family val="2"/>
      </rPr>
      <t>，共</t>
    </r>
    <r>
      <rPr>
        <sz val="12"/>
        <color rgb="FF000000"/>
        <rFont val="Arial"/>
        <family val="2"/>
      </rPr>
      <t>600*3=1,800</t>
    </r>
    <r>
      <rPr>
        <sz val="12"/>
        <color rgb="FF000000"/>
        <rFont val="Arial"/>
        <family val="2"/>
      </rPr>
      <t>元。</t>
    </r>
  </si>
  <si>
    <r>
      <rPr>
        <sz val="12"/>
        <color rgb="FF000000"/>
        <rFont val="Arial"/>
        <family val="2"/>
      </rPr>
      <t>參與者餐費：預計有</t>
    </r>
    <r>
      <rPr>
        <sz val="12"/>
        <color rgb="FF000000"/>
        <rFont val="Arial"/>
        <family val="2"/>
      </rPr>
      <t>40</t>
    </r>
    <r>
      <rPr>
        <sz val="12"/>
        <color rgb="FF000000"/>
        <rFont val="Arial"/>
        <family val="2"/>
      </rPr>
      <t>位參與者與</t>
    </r>
    <r>
      <rPr>
        <sz val="12"/>
        <color rgb="FF000000"/>
        <rFont val="Arial"/>
        <family val="2"/>
      </rPr>
      <t>10</t>
    </r>
    <r>
      <rPr>
        <sz val="12"/>
        <color rgb="FF000000"/>
        <rFont val="Arial"/>
        <family val="2"/>
      </rPr>
      <t>位人員，以每人</t>
    </r>
    <r>
      <rPr>
        <sz val="12"/>
        <color rgb="FF000000"/>
        <rFont val="Arial"/>
        <family val="2"/>
      </rPr>
      <t>70</t>
    </r>
    <r>
      <rPr>
        <sz val="12"/>
        <color rgb="FF000000"/>
        <rFont val="Arial"/>
        <family val="2"/>
      </rPr>
      <t>元估算</t>
    </r>
  </si>
  <si>
    <t>，共70*50=3,500元</t>
  </si>
  <si>
    <r>
      <rPr>
        <sz val="12"/>
        <color rgb="FF000000"/>
        <rFont val="Arial"/>
        <family val="2"/>
      </rPr>
      <t>(1)</t>
    </r>
    <r>
      <rPr>
        <sz val="12"/>
        <color rgb="FF000000"/>
        <rFont val="Arial"/>
        <family val="2"/>
      </rPr>
      <t>活動使用的工作坊用花材，概估共</t>
    </r>
    <r>
      <rPr>
        <sz val="12"/>
        <color rgb="FF000000"/>
        <rFont val="Arial"/>
        <family val="2"/>
      </rPr>
      <t xml:space="preserve"> 4000 </t>
    </r>
    <r>
      <rPr>
        <sz val="12"/>
        <color rgb="FF000000"/>
        <rFont val="Arial"/>
        <family val="2"/>
      </rPr>
      <t>元。</t>
    </r>
  </si>
  <si>
    <r>
      <rPr>
        <sz val="12"/>
        <color rgb="FF000000"/>
        <rFont val="Arial"/>
        <family val="2"/>
      </rPr>
      <t>(2)</t>
    </r>
    <r>
      <rPr>
        <sz val="12"/>
        <color rgb="FF000000"/>
        <rFont val="Arial"/>
        <family val="2"/>
      </rPr>
      <t>活動使用的工作坊材料、紙張及其他手作材料，概估共</t>
    </r>
    <r>
      <rPr>
        <sz val="12"/>
        <color rgb="FF000000"/>
        <rFont val="Arial"/>
        <family val="2"/>
      </rPr>
      <t xml:space="preserve"> 200 </t>
    </r>
    <r>
      <rPr>
        <sz val="12"/>
        <color rgb="FF000000"/>
        <rFont val="Arial"/>
        <family val="2"/>
      </rPr>
      <t>元。</t>
    </r>
  </si>
  <si>
    <t>海報文宣印製：宣傳海報、報到表等，概估共200元</t>
  </si>
  <si>
    <t>125 人 × 7.25 美元 (pro plan) × 12 個月 × 32 台幣/美元
× 0.15 折扣 (education discount) = 52,200 元。</t>
  </si>
  <si>
    <t>(1)工作費-問卷設計工作費：每小時 200，共 6 小時，總計 1,200。</t>
  </si>
  <si>
    <t>(2)工作費-系統開發工作費：每小時 200，共 18 小時，總計 3,600。</t>
  </si>
  <si>
    <t>(3)工作費-分析結果撰寫：每小時 200，共 2 小時，總計 400。</t>
  </si>
  <si>
    <t>校內新資訊系統開發流程規範追蹤計畫</t>
  </si>
  <si>
    <t>(1)工作費－專案追蹤工作費 200*10=2,000</t>
  </si>
  <si>
    <t>(2)工作費－校方聯絡工作費 200*10=2,000</t>
  </si>
  <si>
    <t>(3)工作費－文件處理工作費 200*4=800</t>
  </si>
  <si>
    <t>校內資訊安全與隱私權議題探討及改善倡議計畫</t>
  </si>
  <si>
    <t>(1)工作費－校方聯絡工作費 200*10=2,000</t>
  </si>
  <si>
    <t>(2)工作費－部門培力工作費 200*18=3,600</t>
  </si>
  <si>
    <t>陳情案件處理及資訊相關突發事件追蹤</t>
  </si>
  <si>
    <t>(1)工作費－案件處理工作費 200*40=8,000</t>
  </si>
  <si>
    <t>(2)工作費－校方聯絡工作費 200*20=4,000</t>
  </si>
  <si>
    <t>使用 UptimeRobot 等服務進行資訊相關突發事件追蹤，一年的使用費共 2,520 元。</t>
  </si>
  <si>
    <t>(1) 速記人員工作費：250元/時，預計54小時，共13,500元。</t>
  </si>
  <si>
    <t>(2) 場務人員工作費：200元/時，預計30小時，共6,000元。</t>
  </si>
  <si>
    <t>(3) 秘書人員工作費：200元/時，預計48小時，共9,600元。</t>
  </si>
  <si>
    <t>(4) 社群平台管理工作費：200元/時，預計10小時，共2,000元。</t>
  </si>
  <si>
    <t>(5) 選舉監察委員投票日工作費：200元/時，超時後的前2小時以270元/時計，超時後的第3-4小時以340元/時計，超時後的第4小時起以400元/時計，每時段以3人計，共9,060元。</t>
  </si>
  <si>
    <t>(6)校務會議會後學生代表會議工作費：200元/時，預計6小時，共1,200元。</t>
  </si>
  <si>
    <t>(1) 公報稿費：每次會議公報稿費為1,500元，本會期預計舉辦6次會議，共9,000元。</t>
  </si>
  <si>
    <t>(2) 名片設計稿費：200/時，預計5小時，共1,000元。</t>
  </si>
  <si>
    <t>通譯鐘點費：500元/時，預計6小時，共3,000元。</t>
  </si>
  <si>
    <t>誤餐費</t>
  </si>
  <si>
    <t>(1)會議誤餐費：120元/餐，每次會議以40人計，本會期預計舉辦6次會議，共28,800元。120元/餐，每次會議以40人計，本會期預計舉辦6次會議，共28,800元。</t>
  </si>
  <si>
    <t>(2)選舉監察委員誤餐費：120元/餐，給付選舉監察委員投票日用餐，投票日以一人2餐計，共5位選舉監察委員，共1,200元。</t>
  </si>
  <si>
    <t>(1) 名片印刷費：本會期預計印刷30人名片，每人名片需100元，共3,000元。</t>
  </si>
  <si>
    <t>(2) 簽到單、選票、照片、場地申請單等雜項印刷費：共計1,500元。</t>
  </si>
  <si>
    <t>開會場地借用，預計借用含空調的新生教學館教室1080元/次，本會期預計舉辦6次會議，共6,480元。</t>
  </si>
  <si>
    <t>學代會議事暨法規系統資料庫、雲端空間等費用，每月500元（依往例估算），本期間以6個月計，共3,000元。</t>
  </si>
  <si>
    <t>專案執行期間其他支出，預計花費 500 元。</t>
  </si>
  <si>
    <t xml:space="preserve">友校學生自治機關交流計劃   </t>
  </si>
  <si>
    <t>協助活動執行：初估第一期間執行此計畫所需投入時間至少為 20 小時，時薪 200，共 4,000 元。</t>
  </si>
  <si>
    <t>活動誤餐費：初估第一期間執行此計劃需購置至少50餐（本校20人、北大20人、師大10人），每餐 120 元，共 6,000 元。</t>
  </si>
  <si>
    <t>簽到單、照片等雜項印刷費：概估第一期間執行此計劃需花費1,000元。</t>
  </si>
  <si>
    <t>(1)購置禮品贈與協辦單位：初估第一期間執行此計劃需贈與 3 單位，每單位 300  元，共 900 元。</t>
  </si>
  <si>
    <t>(2)購置禮品贈與參與者：購置禮品贈與參與者：初估第一期間執行此計劃需贈與 30 人（以外校同學數量計算），每人 50  元，共 1,500 元。</t>
  </si>
  <si>
    <t>紀念照掛號費：照片寄予友校學生議會留念，概估掛號郵資為至少 200 元。</t>
  </si>
  <si>
    <t>學代議事培力坊</t>
  </si>
  <si>
    <t>活動籌備與執行：初估第一期間執行此計畫所需投入時間至少為 20 小時，時薪 200，共 4,000 元。</t>
  </si>
  <si>
    <t>講師鐘點費：參酌《講座鐘點費支給表》，外聘國內專家學者之上限為 1 人 2000 元。預計執行此計畫將邀請至少 4 位講者進行對談，共 8,000 元。</t>
  </si>
  <si>
    <t>活動誤餐費：初估第一期間執行此計劃需購置至少60餐，每餐 120 元，共 7,200 元。</t>
  </si>
  <si>
    <t>租借費用：預計執行此計畫之場地租費為兩次，每次四小時 1,080 元，共 2,160 元。</t>
  </si>
  <si>
    <t>活動誤餐費：初估第一期間執行此計劃需購置至少40餐，每餐 120 元，共 6,000 元。</t>
  </si>
  <si>
    <t>依作業要點編列，每位講師編列500元差旅費，4位講師共2,000元。</t>
  </si>
  <si>
    <t>A31</t>
  </si>
  <si>
    <t>評議費</t>
  </si>
  <si>
    <t>300 人/次，同一案至多3次，預估下級庭5案、上級庭2案，解釋庭2案。</t>
  </si>
  <si>
    <t>A32</t>
  </si>
  <si>
    <t>裁判費</t>
  </si>
  <si>
    <t>(1) 下級庭：每案2,100*5=10,500元</t>
  </si>
  <si>
    <t>(2) 上級庭：每案2,500*2=5,000元</t>
  </si>
  <si>
    <t>(3) 解釋庭：每案4,500*2=9,000元</t>
  </si>
  <si>
    <t>A33</t>
  </si>
  <si>
    <t>鑑定費</t>
  </si>
  <si>
    <t>囑託個人或團體鑑定，依鑑定複雜程度按件酌給，每案2組鑑定人，每組估1,500元，預計有2案。共計6,000元</t>
  </si>
  <si>
    <t>A34</t>
  </si>
  <si>
    <t>裁判彙編編輯費暨研究費</t>
  </si>
  <si>
    <t>更新裁判彙編（含案由、關鍵字）。250元*20小時=5,000元</t>
  </si>
  <si>
    <t>A35</t>
  </si>
  <si>
    <t>書記官筆錄謄打費</t>
  </si>
  <si>
    <t>每次開庭之筆錄500元，預計5次。共計500*5=2,500元</t>
  </si>
  <si>
    <t>依作業要點編列，本期間以6月計算，1,000元 / 月。共計6*1,000=6,000元</t>
  </si>
  <si>
    <t>(1) 院務會議（10人*80*2次)。共計10*80*2=1,600元</t>
  </si>
  <si>
    <t>(2) 下級庭（4人*80*4次）。共計4*80*4=1,280元</t>
  </si>
  <si>
    <t>(3) 上級庭（6人*80*2次）。共計6*80*2=960元</t>
  </si>
  <si>
    <t>(4) 解釋庭（10人*80*1次）。共計10*80*1=800元</t>
  </si>
  <si>
    <t>卷宗影印（每庭預估100元*7次）。共計100*7=700元</t>
  </si>
  <si>
    <t>證人與鑑定人出庭補助：每次行政庭400元，每人補助200元，預估2人，開4次。共計200*2*4=1,600元</t>
  </si>
  <si>
    <t>返鄉專車</t>
  </si>
  <si>
    <t>20-30萬</t>
  </si>
  <si>
    <t>校慶</t>
  </si>
  <si>
    <t>跟院學生會合辦</t>
  </si>
  <si>
    <t>攤位 帳篷</t>
  </si>
  <si>
    <t>委辦費</t>
    <phoneticPr fontId="30" type="noConversion"/>
  </si>
  <si>
    <r>
      <t>(</t>
    </r>
    <r>
      <rPr>
        <b/>
        <sz val="12"/>
        <color rgb="FF000000"/>
        <rFont val="微軟正黑體"/>
        <family val="2"/>
        <charset val="136"/>
      </rPr>
      <t>第</t>
    </r>
    <r>
      <rPr>
        <b/>
        <sz val="12"/>
        <color rgb="FF000000"/>
        <rFont val="Arial"/>
        <family val="2"/>
        <scheme val="minor"/>
      </rPr>
      <t>136</t>
    </r>
    <r>
      <rPr>
        <b/>
        <sz val="12"/>
        <color rgb="FF000000"/>
        <rFont val="微軟正黑體"/>
        <family val="2"/>
        <charset val="136"/>
      </rPr>
      <t>、</t>
    </r>
    <r>
      <rPr>
        <b/>
        <sz val="12"/>
        <color rgb="FF000000"/>
        <rFont val="Arial"/>
        <family val="2"/>
        <scheme val="minor"/>
      </rPr>
      <t>137</t>
    </r>
    <r>
      <rPr>
        <b/>
        <sz val="12"/>
        <color rgb="FF000000"/>
        <rFont val="微軟正黑體"/>
        <family val="2"/>
        <charset val="136"/>
      </rPr>
      <t>、</t>
    </r>
    <r>
      <rPr>
        <b/>
        <sz val="12"/>
        <color rgb="FF000000"/>
        <rFont val="Arial"/>
        <family val="2"/>
        <scheme val="minor"/>
      </rPr>
      <t>138</t>
    </r>
    <r>
      <rPr>
        <b/>
        <sz val="12"/>
        <color rgb="FF000000"/>
        <rFont val="微軟正黑體"/>
        <family val="2"/>
        <charset val="136"/>
      </rPr>
      <t>、</t>
    </r>
    <r>
      <rPr>
        <b/>
        <sz val="12"/>
        <color rgb="FF000000"/>
        <rFont val="Arial"/>
        <family val="2"/>
        <scheme val="minor"/>
      </rPr>
      <t>140</t>
    </r>
    <r>
      <rPr>
        <b/>
        <sz val="12"/>
        <color rgb="FF000000"/>
        <rFont val="微軟正黑體"/>
        <family val="2"/>
        <charset val="136"/>
      </rPr>
      <t>列已審議通過</t>
    </r>
    <r>
      <rPr>
        <b/>
        <sz val="12"/>
        <color rgb="FF000000"/>
        <rFont val="Arial"/>
        <family val="2"/>
        <scheme val="minor"/>
      </rPr>
      <t>)</t>
    </r>
    <phoneticPr fontId="30" type="noConversion"/>
  </si>
  <si>
    <r>
      <t xml:space="preserve">(1) </t>
    </r>
    <r>
      <rPr>
        <sz val="12"/>
        <color rgb="FF000000"/>
        <rFont val="微軟正黑體"/>
        <family val="2"/>
        <charset val="136"/>
      </rPr>
      <t>正副議長行政費：本會有</t>
    </r>
    <r>
      <rPr>
        <sz val="12"/>
        <color rgb="FF000000"/>
        <rFont val="Arial"/>
        <family val="2"/>
        <scheme val="minor"/>
      </rPr>
      <t>1</t>
    </r>
    <r>
      <rPr>
        <sz val="12"/>
        <color rgb="FF000000"/>
        <rFont val="微軟正黑體"/>
        <family val="2"/>
        <charset val="136"/>
      </rPr>
      <t>位議長、</t>
    </r>
    <r>
      <rPr>
        <sz val="12"/>
        <color rgb="FF000000"/>
        <rFont val="Arial"/>
        <family val="2"/>
        <scheme val="minor"/>
      </rPr>
      <t>1</t>
    </r>
    <r>
      <rPr>
        <sz val="12"/>
        <color rgb="FF000000"/>
        <rFont val="微軟正黑體"/>
        <family val="2"/>
        <charset val="136"/>
      </rPr>
      <t>位副議長，</t>
    </r>
    <r>
      <rPr>
        <sz val="12"/>
        <color rgb="FF000000"/>
        <rFont val="Arial"/>
        <family val="2"/>
        <scheme val="minor"/>
      </rPr>
      <t>1000</t>
    </r>
    <r>
      <rPr>
        <sz val="12"/>
        <color rgb="FF000000"/>
        <rFont val="微軟正黑體"/>
        <family val="2"/>
        <charset val="136"/>
      </rPr>
      <t>元</t>
    </r>
    <r>
      <rPr>
        <sz val="12"/>
        <color rgb="FF000000"/>
        <rFont val="Arial"/>
        <family val="2"/>
        <scheme val="minor"/>
      </rPr>
      <t>/</t>
    </r>
    <r>
      <rPr>
        <sz val="12"/>
        <color rgb="FF000000"/>
        <rFont val="微軟正黑體"/>
        <family val="2"/>
        <charset val="136"/>
      </rPr>
      <t>時，本期間以6個月計算，共</t>
    </r>
    <r>
      <rPr>
        <sz val="12"/>
        <color rgb="FF000000"/>
        <rFont val="Arial"/>
        <family val="2"/>
        <scheme val="minor"/>
      </rPr>
      <t>12,000</t>
    </r>
    <r>
      <rPr>
        <sz val="12"/>
        <color rgb="FF000000"/>
        <rFont val="微軟正黑體"/>
        <family val="2"/>
        <charset val="136"/>
      </rPr>
      <t>元。</t>
    </r>
    <phoneticPr fontId="30" type="noConversion"/>
  </si>
  <si>
    <r>
      <t xml:space="preserve">(2) </t>
    </r>
    <r>
      <rPr>
        <sz val="12"/>
        <color rgb="FF000000"/>
        <rFont val="微軟正黑體"/>
        <family val="2"/>
        <charset val="136"/>
      </rPr>
      <t>正副秘書長行政費：本會有</t>
    </r>
    <r>
      <rPr>
        <sz val="12"/>
        <color rgb="FF000000"/>
        <rFont val="Arial"/>
        <family val="2"/>
        <scheme val="minor"/>
      </rPr>
      <t>1</t>
    </r>
    <r>
      <rPr>
        <sz val="12"/>
        <color rgb="FF000000"/>
        <rFont val="微軟正黑體"/>
        <family val="2"/>
        <charset val="136"/>
      </rPr>
      <t>位秘書長、</t>
    </r>
    <r>
      <rPr>
        <sz val="12"/>
        <color rgb="FF000000"/>
        <rFont val="Arial"/>
        <family val="2"/>
        <scheme val="minor"/>
      </rPr>
      <t>2</t>
    </r>
    <r>
      <rPr>
        <sz val="12"/>
        <color rgb="FF000000"/>
        <rFont val="微軟正黑體"/>
        <family val="2"/>
        <charset val="136"/>
      </rPr>
      <t>位副秘書長，</t>
    </r>
    <r>
      <rPr>
        <sz val="12"/>
        <color rgb="FF000000"/>
        <rFont val="Arial"/>
        <family val="2"/>
        <scheme val="minor"/>
      </rPr>
      <t>500</t>
    </r>
    <r>
      <rPr>
        <sz val="12"/>
        <color rgb="FF000000"/>
        <rFont val="微軟正黑體"/>
        <family val="2"/>
        <charset val="136"/>
      </rPr>
      <t>元</t>
    </r>
    <r>
      <rPr>
        <sz val="12"/>
        <color rgb="FF000000"/>
        <rFont val="Arial"/>
        <family val="2"/>
        <scheme val="minor"/>
      </rPr>
      <t>/</t>
    </r>
    <r>
      <rPr>
        <sz val="12"/>
        <color rgb="FF000000"/>
        <rFont val="微軟正黑體"/>
        <family val="2"/>
        <charset val="136"/>
      </rPr>
      <t>時，本期間以6個月計算，共9</t>
    </r>
    <r>
      <rPr>
        <sz val="12"/>
        <color rgb="FF000000"/>
        <rFont val="Arial"/>
        <family val="2"/>
        <scheme val="minor"/>
      </rPr>
      <t>,000</t>
    </r>
    <r>
      <rPr>
        <sz val="12"/>
        <color rgb="FF000000"/>
        <rFont val="微軟正黑體"/>
        <family val="2"/>
        <charset val="136"/>
      </rPr>
      <t>元。</t>
    </r>
    <phoneticPr fontId="30" type="noConversion"/>
  </si>
  <si>
    <t>2</t>
    <phoneticPr fontId="30" type="noConversion"/>
  </si>
  <si>
    <t>3</t>
    <phoneticPr fontId="30" type="noConversion"/>
  </si>
  <si>
    <t>0</t>
    <phoneticPr fontId="30" type="noConversion"/>
  </si>
  <si>
    <t>4</t>
    <phoneticPr fontId="30" type="noConversion"/>
  </si>
  <si>
    <t>5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</si>
</sst>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#,###"/>
  </numFmts>
  <fonts count="42">
    <font>
      <sz val="10"/>
      <color rgb="FF000000"/>
      <name val="Arial"/>
      <scheme val="minor"/>
    </font>
    <font>
      <b/>
      <u/>
      <sz val="14"/>
      <color theme="1"/>
      <name val="Source Sans Pro"/>
    </font>
    <font>
      <sz val="12"/>
      <color theme="1"/>
      <name val="Arial"/>
      <scheme val="minor"/>
    </font>
    <font>
      <sz val="12"/>
      <color theme="1"/>
      <name val="Arial"/>
    </font>
    <font>
      <sz val="12"/>
      <color theme="1"/>
      <name val="Source Sans Pro"/>
    </font>
    <font>
      <sz val="10"/>
      <name val="Arial"/>
    </font>
    <font>
      <sz val="10"/>
      <color theme="1"/>
      <name val="Source Sans Pro"/>
    </font>
    <font>
      <b/>
      <sz val="14"/>
      <color theme="1"/>
      <name val="Source Sans Pro"/>
    </font>
    <font>
      <b/>
      <sz val="12"/>
      <color theme="1"/>
      <name val="Source Sans Pro"/>
    </font>
    <font>
      <b/>
      <u/>
      <sz val="14"/>
      <color theme="1"/>
      <name val="Source Sans Pro"/>
    </font>
    <font>
      <sz val="11"/>
      <color theme="1"/>
      <name val="Source sans pro"/>
    </font>
    <font>
      <sz val="11"/>
      <color theme="1"/>
      <name val="Arial"/>
    </font>
    <font>
      <sz val="12"/>
      <color rgb="FF1F1F1F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u/>
      <sz val="14"/>
      <color theme="1"/>
      <name val="Arial"/>
      <scheme val="minor"/>
    </font>
    <font>
      <b/>
      <u/>
      <sz val="14"/>
      <color theme="1"/>
      <name val="Arial"/>
      <scheme val="minor"/>
    </font>
    <font>
      <sz val="12"/>
      <color rgb="FFFF0000"/>
      <name val="Arial"/>
      <scheme val="minor"/>
    </font>
    <font>
      <b/>
      <sz val="12"/>
      <color theme="1"/>
      <name val="Arial"/>
      <scheme val="minor"/>
    </font>
    <font>
      <sz val="12"/>
      <color rgb="FF000000"/>
      <name val="Arimo"/>
    </font>
    <font>
      <sz val="12"/>
      <color rgb="FF1F1F1F"/>
      <name val="Arial"/>
      <family val="2"/>
      <scheme val="minor"/>
    </font>
    <font>
      <b/>
      <u/>
      <sz val="12"/>
      <color theme="1"/>
      <name val="Arial"/>
      <family val="2"/>
      <scheme val="minor"/>
    </font>
    <font>
      <b/>
      <u/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rgb="FF0000FF"/>
      <name val="Arial"/>
      <family val="2"/>
      <scheme val="minor"/>
    </font>
    <font>
      <sz val="12"/>
      <color rgb="FF000000"/>
      <name val="'Source Sans Pro'"/>
    </font>
    <font>
      <sz val="12"/>
      <color rgb="FFCCCCCC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Source Sans Pro"/>
      <family val="2"/>
    </font>
    <font>
      <sz val="12"/>
      <color rgb="FF000000"/>
      <name val="Arial"/>
      <family val="2"/>
    </font>
    <font>
      <sz val="9"/>
      <name val="Arial"/>
      <family val="3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Source Sans Pro"/>
      <family val="2"/>
    </font>
    <font>
      <b/>
      <u/>
      <sz val="12"/>
      <color theme="1"/>
      <name val="Source Sans Pro"/>
      <family val="2"/>
    </font>
    <font>
      <sz val="12"/>
      <color theme="1"/>
      <name val="Arial"/>
      <family val="2"/>
      <scheme val="minor"/>
    </font>
    <font>
      <sz val="12"/>
      <name val="Arial"/>
      <family val="2"/>
    </font>
    <font>
      <b/>
      <sz val="12"/>
      <color theme="1"/>
      <name val="Arial"/>
      <family val="2"/>
      <scheme val="minor"/>
    </font>
    <font>
      <sz val="12"/>
      <color rgb="FFFF0000"/>
      <name val="Arial"/>
      <family val="2"/>
      <scheme val="minor"/>
    </font>
    <font>
      <sz val="12"/>
      <color theme="1"/>
      <name val="Arial"/>
      <family val="2"/>
    </font>
    <font>
      <b/>
      <sz val="12"/>
      <color rgb="FF000000"/>
      <name val="微軟正黑體"/>
      <family val="2"/>
      <charset val="136"/>
    </font>
    <font>
      <b/>
      <sz val="12"/>
      <color theme="1"/>
      <name val="Source Sans Pro"/>
      <family val="2"/>
    </font>
    <font>
      <sz val="12"/>
      <color rgb="FF000000"/>
      <name val="微軟正黑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C7C7C7"/>
        <bgColor rgb="FFC7C7C7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2" tint="-4.9989318521683403E-2"/>
      </top>
      <bottom/>
      <diagonal/>
    </border>
    <border>
      <left style="thin">
        <color indexed="64"/>
      </left>
      <right style="thin">
        <color indexed="64"/>
      </right>
      <top style="thin">
        <color theme="2" tint="-4.9989318521683403E-2"/>
      </top>
      <bottom/>
      <diagonal/>
    </border>
    <border>
      <left/>
      <right/>
      <top/>
      <bottom style="thin">
        <color theme="2" tint="-4.9989318521683403E-2"/>
      </bottom>
      <diagonal/>
    </border>
    <border>
      <left/>
      <right/>
      <top style="thin">
        <color theme="2" tint="-4.9989318521683403E-2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3" fontId="4" fillId="0" borderId="0" xfId="0" applyNumberFormat="1" applyFont="1" applyAlignment="1">
      <alignment horizontal="left"/>
    </xf>
    <xf numFmtId="176" fontId="4" fillId="0" borderId="0" xfId="0" applyNumberFormat="1" applyFont="1" applyAlignment="1">
      <alignment horizontal="right"/>
    </xf>
    <xf numFmtId="0" fontId="4" fillId="0" borderId="2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 wrapText="1"/>
    </xf>
    <xf numFmtId="177" fontId="7" fillId="0" borderId="8" xfId="0" applyNumberFormat="1" applyFont="1" applyBorder="1"/>
    <xf numFmtId="176" fontId="7" fillId="0" borderId="3" xfId="0" applyNumberFormat="1" applyFont="1" applyBorder="1" applyAlignment="1">
      <alignment horizontal="right"/>
    </xf>
    <xf numFmtId="176" fontId="7" fillId="0" borderId="9" xfId="0" applyNumberFormat="1" applyFont="1" applyBorder="1" applyAlignment="1">
      <alignment horizontal="right"/>
    </xf>
    <xf numFmtId="176" fontId="7" fillId="0" borderId="4" xfId="0" applyNumberFormat="1" applyFont="1" applyBorder="1" applyAlignment="1">
      <alignment horizontal="right"/>
    </xf>
    <xf numFmtId="176" fontId="7" fillId="0" borderId="0" xfId="0" applyNumberFormat="1" applyFont="1" applyAlignment="1">
      <alignment horizontal="right"/>
    </xf>
    <xf numFmtId="0" fontId="8" fillId="0" borderId="10" xfId="0" applyFont="1" applyBorder="1" applyAlignment="1">
      <alignment horizontal="center"/>
    </xf>
    <xf numFmtId="0" fontId="8" fillId="0" borderId="0" xfId="0" applyFont="1"/>
    <xf numFmtId="176" fontId="8" fillId="0" borderId="0" xfId="0" applyNumberFormat="1" applyFont="1"/>
    <xf numFmtId="176" fontId="8" fillId="0" borderId="4" xfId="0" applyNumberFormat="1" applyFont="1" applyBorder="1"/>
    <xf numFmtId="0" fontId="8" fillId="2" borderId="10" xfId="0" applyFont="1" applyFill="1" applyBorder="1" applyAlignment="1">
      <alignment horizontal="center"/>
    </xf>
    <xf numFmtId="0" fontId="8" fillId="2" borderId="0" xfId="0" applyFont="1" applyFill="1"/>
    <xf numFmtId="3" fontId="8" fillId="2" borderId="8" xfId="0" applyNumberFormat="1" applyFont="1" applyFill="1" applyBorder="1"/>
    <xf numFmtId="176" fontId="8" fillId="2" borderId="8" xfId="0" applyNumberFormat="1" applyFont="1" applyFill="1" applyBorder="1"/>
    <xf numFmtId="3" fontId="8" fillId="2" borderId="4" xfId="0" applyNumberFormat="1" applyFont="1" applyFill="1" applyBorder="1"/>
    <xf numFmtId="176" fontId="8" fillId="2" borderId="4" xfId="0" applyNumberFormat="1" applyFont="1" applyFill="1" applyBorder="1"/>
    <xf numFmtId="0" fontId="8" fillId="3" borderId="4" xfId="0" applyFont="1" applyFill="1" applyBorder="1"/>
    <xf numFmtId="10" fontId="8" fillId="3" borderId="0" xfId="0" applyNumberFormat="1" applyFont="1" applyFill="1"/>
    <xf numFmtId="0" fontId="8" fillId="3" borderId="0" xfId="0" applyFont="1" applyFill="1"/>
    <xf numFmtId="0" fontId="4" fillId="0" borderId="10" xfId="0" applyFont="1" applyBorder="1" applyAlignment="1">
      <alignment horizontal="center"/>
    </xf>
    <xf numFmtId="0" fontId="4" fillId="0" borderId="0" xfId="0" applyFont="1"/>
    <xf numFmtId="177" fontId="4" fillId="0" borderId="8" xfId="0" applyNumberFormat="1" applyFont="1" applyBorder="1"/>
    <xf numFmtId="176" fontId="4" fillId="0" borderId="8" xfId="0" applyNumberFormat="1" applyFont="1" applyBorder="1" applyAlignment="1">
      <alignment horizontal="right"/>
    </xf>
    <xf numFmtId="3" fontId="4" fillId="0" borderId="4" xfId="0" applyNumberFormat="1" applyFont="1" applyBorder="1"/>
    <xf numFmtId="176" fontId="4" fillId="0" borderId="4" xfId="0" applyNumberFormat="1" applyFont="1" applyBorder="1"/>
    <xf numFmtId="10" fontId="4" fillId="0" borderId="0" xfId="0" applyNumberFormat="1" applyFont="1"/>
    <xf numFmtId="3" fontId="4" fillId="0" borderId="0" xfId="0" applyNumberFormat="1" applyFont="1"/>
    <xf numFmtId="176" fontId="4" fillId="0" borderId="0" xfId="0" applyNumberFormat="1" applyFont="1"/>
    <xf numFmtId="0" fontId="4" fillId="0" borderId="8" xfId="0" applyFont="1" applyBorder="1" applyAlignment="1">
      <alignment horizontal="right"/>
    </xf>
    <xf numFmtId="3" fontId="4" fillId="0" borderId="4" xfId="0" applyNumberFormat="1" applyFont="1" applyBorder="1" applyAlignment="1">
      <alignment horizontal="right"/>
    </xf>
    <xf numFmtId="3" fontId="4" fillId="0" borderId="8" xfId="0" applyNumberFormat="1" applyFont="1" applyBorder="1" applyAlignment="1">
      <alignment horizontal="right"/>
    </xf>
    <xf numFmtId="176" fontId="4" fillId="0" borderId="4" xfId="0" applyNumberFormat="1" applyFont="1" applyBorder="1" applyAlignment="1">
      <alignment horizontal="right"/>
    </xf>
    <xf numFmtId="0" fontId="8" fillId="0" borderId="8" xfId="0" applyFont="1" applyBorder="1"/>
    <xf numFmtId="3" fontId="8" fillId="0" borderId="8" xfId="0" applyNumberFormat="1" applyFont="1" applyBorder="1"/>
    <xf numFmtId="3" fontId="8" fillId="0" borderId="0" xfId="0" applyNumberFormat="1" applyFont="1"/>
    <xf numFmtId="176" fontId="8" fillId="2" borderId="0" xfId="0" applyNumberFormat="1" applyFont="1" applyFill="1"/>
    <xf numFmtId="176" fontId="8" fillId="3" borderId="4" xfId="0" applyNumberFormat="1" applyFont="1" applyFill="1" applyBorder="1"/>
    <xf numFmtId="176" fontId="8" fillId="3" borderId="0" xfId="0" applyNumberFormat="1" applyFont="1" applyFill="1"/>
    <xf numFmtId="3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8" xfId="0" applyFont="1" applyBorder="1"/>
    <xf numFmtId="3" fontId="4" fillId="0" borderId="8" xfId="0" applyNumberFormat="1" applyFont="1" applyBorder="1"/>
    <xf numFmtId="0" fontId="8" fillId="4" borderId="10" xfId="0" applyFont="1" applyFill="1" applyBorder="1" applyAlignment="1">
      <alignment horizontal="center"/>
    </xf>
    <xf numFmtId="0" fontId="8" fillId="4" borderId="0" xfId="0" applyFont="1" applyFill="1"/>
    <xf numFmtId="3" fontId="8" fillId="4" borderId="8" xfId="0" applyNumberFormat="1" applyFont="1" applyFill="1" applyBorder="1"/>
    <xf numFmtId="176" fontId="8" fillId="4" borderId="8" xfId="0" applyNumberFormat="1" applyFont="1" applyFill="1" applyBorder="1"/>
    <xf numFmtId="176" fontId="8" fillId="4" borderId="0" xfId="0" applyNumberFormat="1" applyFont="1" applyFill="1"/>
    <xf numFmtId="3" fontId="8" fillId="3" borderId="0" xfId="0" applyNumberFormat="1" applyFont="1" applyFill="1"/>
    <xf numFmtId="0" fontId="4" fillId="0" borderId="6" xfId="0" applyFont="1" applyBorder="1" applyAlignment="1">
      <alignment horizontal="center"/>
    </xf>
    <xf numFmtId="3" fontId="4" fillId="0" borderId="7" xfId="0" applyNumberFormat="1" applyFont="1" applyBorder="1" applyAlignment="1">
      <alignment horizontal="right"/>
    </xf>
    <xf numFmtId="176" fontId="4" fillId="0" borderId="5" xfId="0" applyNumberFormat="1" applyFont="1" applyBorder="1" applyAlignment="1">
      <alignment horizontal="right"/>
    </xf>
    <xf numFmtId="177" fontId="4" fillId="0" borderId="0" xfId="0" applyNumberFormat="1" applyFont="1"/>
    <xf numFmtId="49" fontId="9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49" fontId="4" fillId="0" borderId="1" xfId="0" applyNumberFormat="1" applyFont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3" fontId="4" fillId="0" borderId="8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4" fillId="0" borderId="10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3" fontId="7" fillId="0" borderId="3" xfId="0" applyNumberFormat="1" applyFont="1" applyBorder="1"/>
    <xf numFmtId="177" fontId="7" fillId="0" borderId="3" xfId="0" applyNumberFormat="1" applyFont="1" applyBorder="1"/>
    <xf numFmtId="177" fontId="7" fillId="0" borderId="9" xfId="0" applyNumberFormat="1" applyFont="1" applyBorder="1"/>
    <xf numFmtId="177" fontId="7" fillId="0" borderId="0" xfId="0" applyNumberFormat="1" applyFont="1"/>
    <xf numFmtId="49" fontId="4" fillId="0" borderId="8" xfId="0" applyNumberFormat="1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3" fontId="7" fillId="0" borderId="8" xfId="0" applyNumberFormat="1" applyFont="1" applyBorder="1"/>
    <xf numFmtId="177" fontId="7" fillId="0" borderId="4" xfId="0" applyNumberFormat="1" applyFont="1" applyBorder="1"/>
    <xf numFmtId="0" fontId="4" fillId="0" borderId="4" xfId="0" applyFont="1" applyBorder="1"/>
    <xf numFmtId="49" fontId="8" fillId="2" borderId="0" xfId="0" applyNumberFormat="1" applyFont="1" applyFill="1" applyAlignment="1">
      <alignment horizontal="center"/>
    </xf>
    <xf numFmtId="49" fontId="8" fillId="2" borderId="8" xfId="0" applyNumberFormat="1" applyFont="1" applyFill="1" applyBorder="1" applyAlignment="1">
      <alignment horizontal="center"/>
    </xf>
    <xf numFmtId="49" fontId="8" fillId="2" borderId="10" xfId="0" applyNumberFormat="1" applyFont="1" applyFill="1" applyBorder="1" applyAlignment="1">
      <alignment horizontal="center"/>
    </xf>
    <xf numFmtId="0" fontId="8" fillId="2" borderId="0" xfId="0" applyFont="1" applyFill="1" applyAlignment="1">
      <alignment wrapText="1"/>
    </xf>
    <xf numFmtId="176" fontId="8" fillId="2" borderId="8" xfId="0" applyNumberFormat="1" applyFont="1" applyFill="1" applyBorder="1" applyAlignment="1">
      <alignment horizontal="right"/>
    </xf>
    <xf numFmtId="177" fontId="8" fillId="2" borderId="8" xfId="0" applyNumberFormat="1" applyFont="1" applyFill="1" applyBorder="1"/>
    <xf numFmtId="0" fontId="8" fillId="2" borderId="4" xfId="0" applyFont="1" applyFill="1" applyBorder="1"/>
    <xf numFmtId="0" fontId="4" fillId="0" borderId="0" xfId="0" applyFont="1" applyAlignment="1">
      <alignment wrapText="1"/>
    </xf>
    <xf numFmtId="0" fontId="4" fillId="0" borderId="10" xfId="0" applyFont="1" applyBorder="1"/>
    <xf numFmtId="177" fontId="4" fillId="0" borderId="8" xfId="0" applyNumberFormat="1" applyFont="1" applyBorder="1" applyAlignment="1">
      <alignment horizontal="right"/>
    </xf>
    <xf numFmtId="49" fontId="4" fillId="4" borderId="0" xfId="0" applyNumberFormat="1" applyFont="1" applyFill="1" applyAlignment="1">
      <alignment horizontal="center"/>
    </xf>
    <xf numFmtId="49" fontId="8" fillId="4" borderId="8" xfId="0" applyNumberFormat="1" applyFont="1" applyFill="1" applyBorder="1" applyAlignment="1">
      <alignment horizontal="center"/>
    </xf>
    <xf numFmtId="49" fontId="8" fillId="4" borderId="0" xfId="0" applyNumberFormat="1" applyFont="1" applyFill="1" applyAlignment="1">
      <alignment horizontal="center"/>
    </xf>
    <xf numFmtId="49" fontId="8" fillId="4" borderId="10" xfId="0" applyNumberFormat="1" applyFont="1" applyFill="1" applyBorder="1" applyAlignment="1">
      <alignment horizontal="center"/>
    </xf>
    <xf numFmtId="0" fontId="8" fillId="4" borderId="0" xfId="0" applyFont="1" applyFill="1" applyAlignment="1">
      <alignment wrapText="1"/>
    </xf>
    <xf numFmtId="176" fontId="8" fillId="4" borderId="8" xfId="0" applyNumberFormat="1" applyFont="1" applyFill="1" applyBorder="1" applyAlignment="1">
      <alignment horizontal="right"/>
    </xf>
    <xf numFmtId="177" fontId="8" fillId="4" borderId="8" xfId="0" applyNumberFormat="1" applyFont="1" applyFill="1" applyBorder="1" applyAlignment="1">
      <alignment horizontal="right"/>
    </xf>
    <xf numFmtId="176" fontId="8" fillId="4" borderId="4" xfId="0" applyNumberFormat="1" applyFont="1" applyFill="1" applyBorder="1" applyAlignment="1">
      <alignment horizontal="right"/>
    </xf>
    <xf numFmtId="0" fontId="8" fillId="4" borderId="4" xfId="0" applyFont="1" applyFill="1" applyBorder="1"/>
    <xf numFmtId="49" fontId="4" fillId="0" borderId="8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horizontal="center" vertical="top"/>
    </xf>
    <xf numFmtId="49" fontId="4" fillId="0" borderId="10" xfId="0" applyNumberFormat="1" applyFont="1" applyBorder="1" applyAlignment="1">
      <alignment horizontal="center" vertical="top"/>
    </xf>
    <xf numFmtId="0" fontId="4" fillId="0" borderId="0" xfId="0" applyFont="1" applyAlignment="1">
      <alignment vertical="top" wrapText="1"/>
    </xf>
    <xf numFmtId="3" fontId="10" fillId="0" borderId="4" xfId="0" applyNumberFormat="1" applyFont="1" applyBorder="1" applyAlignment="1">
      <alignment vertical="center"/>
    </xf>
    <xf numFmtId="9" fontId="4" fillId="0" borderId="10" xfId="0" applyNumberFormat="1" applyFont="1" applyBorder="1"/>
    <xf numFmtId="3" fontId="6" fillId="0" borderId="8" xfId="0" applyNumberFormat="1" applyFont="1" applyBorder="1"/>
    <xf numFmtId="3" fontId="11" fillId="0" borderId="4" xfId="0" applyNumberFormat="1" applyFont="1" applyBorder="1" applyAlignment="1">
      <alignment vertical="center"/>
    </xf>
    <xf numFmtId="3" fontId="8" fillId="4" borderId="8" xfId="0" applyNumberFormat="1" applyFont="1" applyFill="1" applyBorder="1" applyAlignment="1">
      <alignment horizontal="right"/>
    </xf>
    <xf numFmtId="10" fontId="4" fillId="0" borderId="4" xfId="0" applyNumberFormat="1" applyFont="1" applyBorder="1"/>
    <xf numFmtId="3" fontId="8" fillId="0" borderId="8" xfId="0" applyNumberFormat="1" applyFont="1" applyBorder="1" applyAlignment="1">
      <alignment horizontal="right"/>
    </xf>
    <xf numFmtId="49" fontId="2" fillId="3" borderId="8" xfId="0" applyNumberFormat="1" applyFont="1" applyFill="1" applyBorder="1" applyAlignment="1">
      <alignment horizontal="center"/>
    </xf>
    <xf numFmtId="49" fontId="2" fillId="3" borderId="10" xfId="0" applyNumberFormat="1" applyFont="1" applyFill="1" applyBorder="1" applyAlignment="1">
      <alignment horizontal="center"/>
    </xf>
    <xf numFmtId="49" fontId="4" fillId="5" borderId="0" xfId="0" applyNumberFormat="1" applyFont="1" applyFill="1" applyAlignment="1">
      <alignment horizontal="center"/>
    </xf>
    <xf numFmtId="49" fontId="4" fillId="5" borderId="8" xfId="0" applyNumberFormat="1" applyFont="1" applyFill="1" applyBorder="1" applyAlignment="1">
      <alignment horizontal="center"/>
    </xf>
    <xf numFmtId="49" fontId="4" fillId="5" borderId="10" xfId="0" applyNumberFormat="1" applyFont="1" applyFill="1" applyBorder="1" applyAlignment="1">
      <alignment horizontal="center"/>
    </xf>
    <xf numFmtId="0" fontId="4" fillId="5" borderId="0" xfId="0" applyFont="1" applyFill="1" applyAlignment="1">
      <alignment wrapText="1"/>
    </xf>
    <xf numFmtId="3" fontId="4" fillId="5" borderId="8" xfId="0" applyNumberFormat="1" applyFont="1" applyFill="1" applyBorder="1" applyAlignment="1">
      <alignment horizontal="right"/>
    </xf>
    <xf numFmtId="9" fontId="4" fillId="5" borderId="10" xfId="0" applyNumberFormat="1" applyFont="1" applyFill="1" applyBorder="1"/>
    <xf numFmtId="177" fontId="4" fillId="5" borderId="8" xfId="0" applyNumberFormat="1" applyFont="1" applyFill="1" applyBorder="1" applyAlignment="1">
      <alignment horizontal="right"/>
    </xf>
    <xf numFmtId="10" fontId="4" fillId="5" borderId="0" xfId="0" applyNumberFormat="1" applyFont="1" applyFill="1"/>
    <xf numFmtId="0" fontId="4" fillId="5" borderId="4" xfId="0" applyFont="1" applyFill="1" applyBorder="1"/>
    <xf numFmtId="0" fontId="4" fillId="5" borderId="0" xfId="0" applyFont="1" applyFill="1"/>
    <xf numFmtId="0" fontId="12" fillId="0" borderId="8" xfId="0" applyFont="1" applyBorder="1"/>
    <xf numFmtId="0" fontId="12" fillId="0" borderId="0" xfId="0" applyFont="1"/>
    <xf numFmtId="176" fontId="4" fillId="0" borderId="10" xfId="0" applyNumberFormat="1" applyFont="1" applyBorder="1"/>
    <xf numFmtId="176" fontId="4" fillId="5" borderId="10" xfId="0" applyNumberFormat="1" applyFont="1" applyFill="1" applyBorder="1"/>
    <xf numFmtId="0" fontId="12" fillId="0" borderId="8" xfId="0" applyFont="1" applyBorder="1" applyAlignment="1">
      <alignment wrapText="1"/>
    </xf>
    <xf numFmtId="176" fontId="8" fillId="4" borderId="10" xfId="0" applyNumberFormat="1" applyFont="1" applyFill="1" applyBorder="1"/>
    <xf numFmtId="10" fontId="8" fillId="4" borderId="0" xfId="0" applyNumberFormat="1" applyFont="1" applyFill="1"/>
    <xf numFmtId="49" fontId="6" fillId="0" borderId="10" xfId="0" applyNumberFormat="1" applyFont="1" applyBorder="1"/>
    <xf numFmtId="49" fontId="13" fillId="5" borderId="10" xfId="0" applyNumberFormat="1" applyFont="1" applyFill="1" applyBorder="1"/>
    <xf numFmtId="0" fontId="4" fillId="5" borderId="10" xfId="0" applyFont="1" applyFill="1" applyBorder="1"/>
    <xf numFmtId="49" fontId="2" fillId="5" borderId="10" xfId="0" applyNumberFormat="1" applyFont="1" applyFill="1" applyBorder="1" applyAlignment="1">
      <alignment horizontal="center"/>
    </xf>
    <xf numFmtId="49" fontId="14" fillId="5" borderId="10" xfId="0" applyNumberFormat="1" applyFont="1" applyFill="1" applyBorder="1"/>
    <xf numFmtId="0" fontId="2" fillId="5" borderId="10" xfId="0" applyFont="1" applyFill="1" applyBorder="1"/>
    <xf numFmtId="49" fontId="2" fillId="0" borderId="10" xfId="0" applyNumberFormat="1" applyFont="1" applyBorder="1" applyAlignment="1">
      <alignment horizontal="center"/>
    </xf>
    <xf numFmtId="49" fontId="14" fillId="0" borderId="10" xfId="0" applyNumberFormat="1" applyFont="1" applyBorder="1"/>
    <xf numFmtId="0" fontId="2" fillId="0" borderId="10" xfId="0" applyFont="1" applyBorder="1" applyAlignment="1">
      <alignment wrapText="1"/>
    </xf>
    <xf numFmtId="49" fontId="2" fillId="0" borderId="0" xfId="0" applyNumberFormat="1" applyFont="1" applyAlignment="1">
      <alignment horizontal="center"/>
    </xf>
    <xf numFmtId="49" fontId="2" fillId="0" borderId="8" xfId="0" applyNumberFormat="1" applyFont="1" applyBorder="1" applyAlignment="1">
      <alignment horizontal="center"/>
    </xf>
    <xf numFmtId="0" fontId="2" fillId="0" borderId="0" xfId="0" applyFont="1" applyAlignment="1">
      <alignment wrapText="1"/>
    </xf>
    <xf numFmtId="3" fontId="8" fillId="2" borderId="8" xfId="0" applyNumberFormat="1" applyFont="1" applyFill="1" applyBorder="1" applyAlignment="1">
      <alignment horizontal="right"/>
    </xf>
    <xf numFmtId="177" fontId="8" fillId="2" borderId="8" xfId="0" applyNumberFormat="1" applyFont="1" applyFill="1" applyBorder="1" applyAlignment="1">
      <alignment horizontal="right"/>
    </xf>
    <xf numFmtId="176" fontId="8" fillId="2" borderId="4" xfId="0" applyNumberFormat="1" applyFont="1" applyFill="1" applyBorder="1" applyAlignment="1">
      <alignment horizontal="right"/>
    </xf>
    <xf numFmtId="49" fontId="8" fillId="0" borderId="0" xfId="0" applyNumberFormat="1" applyFont="1" applyAlignment="1">
      <alignment horizontal="center"/>
    </xf>
    <xf numFmtId="49" fontId="8" fillId="0" borderId="8" xfId="0" applyNumberFormat="1" applyFont="1" applyBorder="1" applyAlignment="1">
      <alignment horizontal="center"/>
    </xf>
    <xf numFmtId="49" fontId="8" fillId="0" borderId="10" xfId="0" applyNumberFormat="1" applyFont="1" applyBorder="1" applyAlignment="1">
      <alignment horizontal="center"/>
    </xf>
    <xf numFmtId="0" fontId="8" fillId="0" borderId="0" xfId="0" applyFont="1" applyAlignment="1">
      <alignment wrapText="1"/>
    </xf>
    <xf numFmtId="177" fontId="8" fillId="0" borderId="8" xfId="0" applyNumberFormat="1" applyFont="1" applyBorder="1" applyAlignment="1">
      <alignment horizontal="right"/>
    </xf>
    <xf numFmtId="176" fontId="8" fillId="0" borderId="4" xfId="0" applyNumberFormat="1" applyFont="1" applyBorder="1" applyAlignment="1">
      <alignment horizontal="right"/>
    </xf>
    <xf numFmtId="0" fontId="8" fillId="0" borderId="4" xfId="0" applyFont="1" applyBorder="1"/>
    <xf numFmtId="10" fontId="8" fillId="2" borderId="4" xfId="0" applyNumberFormat="1" applyFont="1" applyFill="1" applyBorder="1" applyAlignment="1">
      <alignment horizontal="right"/>
    </xf>
    <xf numFmtId="176" fontId="8" fillId="0" borderId="8" xfId="0" applyNumberFormat="1" applyFont="1" applyBorder="1" applyAlignment="1">
      <alignment horizontal="right"/>
    </xf>
    <xf numFmtId="10" fontId="4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/>
    <xf numFmtId="0" fontId="17" fillId="0" borderId="0" xfId="0" applyFont="1"/>
    <xf numFmtId="0" fontId="2" fillId="0" borderId="0" xfId="0" applyFont="1"/>
    <xf numFmtId="0" fontId="2" fillId="3" borderId="0" xfId="0" applyFont="1" applyFill="1"/>
    <xf numFmtId="49" fontId="2" fillId="0" borderId="10" xfId="0" applyNumberFormat="1" applyFont="1" applyBorder="1" applyAlignment="1">
      <alignment horizontal="center" vertical="center"/>
    </xf>
    <xf numFmtId="0" fontId="14" fillId="0" borderId="0" xfId="0" applyFont="1"/>
    <xf numFmtId="0" fontId="20" fillId="0" borderId="10" xfId="0" applyFont="1" applyBorder="1"/>
    <xf numFmtId="0" fontId="20" fillId="0" borderId="10" xfId="0" applyFont="1" applyBorder="1" applyAlignment="1">
      <alignment wrapText="1"/>
    </xf>
    <xf numFmtId="0" fontId="2" fillId="5" borderId="0" xfId="0" applyFont="1" applyFill="1"/>
    <xf numFmtId="49" fontId="18" fillId="0" borderId="10" xfId="0" applyNumberFormat="1" applyFont="1" applyBorder="1" applyAlignment="1">
      <alignment horizontal="center"/>
    </xf>
    <xf numFmtId="0" fontId="21" fillId="0" borderId="0" xfId="0" applyFont="1" applyAlignment="1">
      <alignment horizontal="center"/>
    </xf>
    <xf numFmtId="49" fontId="22" fillId="0" borderId="0" xfId="0" applyNumberFormat="1" applyFont="1" applyAlignment="1">
      <alignment horizontal="center"/>
    </xf>
    <xf numFmtId="0" fontId="2" fillId="0" borderId="15" xfId="0" applyFont="1" applyBorder="1" applyAlignment="1">
      <alignment horizontal="center"/>
    </xf>
    <xf numFmtId="10" fontId="2" fillId="0" borderId="15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0" fontId="2" fillId="0" borderId="8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177" fontId="18" fillId="0" borderId="3" xfId="0" applyNumberFormat="1" applyFont="1" applyBorder="1"/>
    <xf numFmtId="10" fontId="18" fillId="0" borderId="3" xfId="0" applyNumberFormat="1" applyFont="1" applyBorder="1" applyAlignment="1">
      <alignment horizontal="right"/>
    </xf>
    <xf numFmtId="0" fontId="2" fillId="0" borderId="3" xfId="0" applyFont="1" applyBorder="1"/>
    <xf numFmtId="0" fontId="17" fillId="0" borderId="9" xfId="0" applyFont="1" applyBorder="1"/>
    <xf numFmtId="0" fontId="18" fillId="0" borderId="8" xfId="0" applyFont="1" applyBorder="1" applyAlignment="1">
      <alignment horizontal="center"/>
    </xf>
    <xf numFmtId="177" fontId="18" fillId="0" borderId="8" xfId="0" applyNumberFormat="1" applyFont="1" applyBorder="1"/>
    <xf numFmtId="10" fontId="18" fillId="0" borderId="8" xfId="0" applyNumberFormat="1" applyFont="1" applyBorder="1"/>
    <xf numFmtId="0" fontId="2" fillId="0" borderId="8" xfId="0" applyFont="1" applyBorder="1"/>
    <xf numFmtId="0" fontId="2" fillId="0" borderId="4" xfId="0" applyFont="1" applyBorder="1"/>
    <xf numFmtId="49" fontId="18" fillId="6" borderId="0" xfId="0" applyNumberFormat="1" applyFont="1" applyFill="1" applyAlignment="1">
      <alignment horizontal="center"/>
    </xf>
    <xf numFmtId="49" fontId="18" fillId="6" borderId="8" xfId="0" applyNumberFormat="1" applyFont="1" applyFill="1" applyBorder="1" applyAlignment="1">
      <alignment horizontal="center"/>
    </xf>
    <xf numFmtId="49" fontId="18" fillId="6" borderId="10" xfId="0" applyNumberFormat="1" applyFont="1" applyFill="1" applyBorder="1" applyAlignment="1">
      <alignment horizontal="center"/>
    </xf>
    <xf numFmtId="0" fontId="18" fillId="6" borderId="8" xfId="0" applyFont="1" applyFill="1" applyBorder="1"/>
    <xf numFmtId="177" fontId="18" fillId="6" borderId="8" xfId="0" applyNumberFormat="1" applyFont="1" applyFill="1" applyBorder="1"/>
    <xf numFmtId="10" fontId="18" fillId="6" borderId="8" xfId="0" applyNumberFormat="1" applyFont="1" applyFill="1" applyBorder="1" applyAlignment="1">
      <alignment horizontal="right"/>
    </xf>
    <xf numFmtId="0" fontId="2" fillId="6" borderId="8" xfId="0" applyFont="1" applyFill="1" applyBorder="1" applyAlignment="1">
      <alignment wrapText="1"/>
    </xf>
    <xf numFmtId="0" fontId="18" fillId="6" borderId="4" xfId="0" applyFont="1" applyFill="1" applyBorder="1"/>
    <xf numFmtId="0" fontId="18" fillId="6" borderId="0" xfId="0" applyFont="1" applyFill="1"/>
    <xf numFmtId="177" fontId="2" fillId="0" borderId="8" xfId="0" applyNumberFormat="1" applyFont="1" applyBorder="1"/>
    <xf numFmtId="10" fontId="2" fillId="0" borderId="8" xfId="0" applyNumberFormat="1" applyFont="1" applyBorder="1"/>
    <xf numFmtId="49" fontId="18" fillId="7" borderId="0" xfId="0" applyNumberFormat="1" applyFont="1" applyFill="1" applyAlignment="1">
      <alignment horizontal="center"/>
    </xf>
    <xf numFmtId="49" fontId="18" fillId="7" borderId="8" xfId="0" applyNumberFormat="1" applyFont="1" applyFill="1" applyBorder="1" applyAlignment="1">
      <alignment horizontal="center"/>
    </xf>
    <xf numFmtId="49" fontId="18" fillId="7" borderId="10" xfId="0" applyNumberFormat="1" applyFont="1" applyFill="1" applyBorder="1" applyAlignment="1">
      <alignment horizontal="center"/>
    </xf>
    <xf numFmtId="0" fontId="18" fillId="7" borderId="8" xfId="0" applyFont="1" applyFill="1" applyBorder="1"/>
    <xf numFmtId="177" fontId="18" fillId="7" borderId="8" xfId="0" applyNumberFormat="1" applyFont="1" applyFill="1" applyBorder="1"/>
    <xf numFmtId="10" fontId="18" fillId="7" borderId="8" xfId="0" applyNumberFormat="1" applyFont="1" applyFill="1" applyBorder="1" applyAlignment="1">
      <alignment horizontal="right"/>
    </xf>
    <xf numFmtId="0" fontId="18" fillId="7" borderId="4" xfId="0" applyFont="1" applyFill="1" applyBorder="1"/>
    <xf numFmtId="0" fontId="18" fillId="7" borderId="0" xfId="0" applyFont="1" applyFill="1"/>
    <xf numFmtId="49" fontId="2" fillId="0" borderId="0" xfId="0" applyNumberFormat="1" applyFont="1" applyAlignment="1">
      <alignment horizontal="center" vertical="top"/>
    </xf>
    <xf numFmtId="49" fontId="2" fillId="4" borderId="8" xfId="0" applyNumberFormat="1" applyFont="1" applyFill="1" applyBorder="1" applyAlignment="1">
      <alignment horizontal="center" vertical="top"/>
    </xf>
    <xf numFmtId="49" fontId="2" fillId="4" borderId="10" xfId="0" applyNumberFormat="1" applyFont="1" applyFill="1" applyBorder="1" applyAlignment="1">
      <alignment horizontal="center" vertical="top"/>
    </xf>
    <xf numFmtId="0" fontId="2" fillId="4" borderId="8" xfId="0" applyFont="1" applyFill="1" applyBorder="1" applyAlignment="1">
      <alignment vertical="top"/>
    </xf>
    <xf numFmtId="177" fontId="2" fillId="4" borderId="8" xfId="0" applyNumberFormat="1" applyFont="1" applyFill="1" applyBorder="1" applyAlignment="1">
      <alignment vertical="top"/>
    </xf>
    <xf numFmtId="10" fontId="2" fillId="4" borderId="8" xfId="0" applyNumberFormat="1" applyFont="1" applyFill="1" applyBorder="1" applyAlignment="1">
      <alignment horizontal="right"/>
    </xf>
    <xf numFmtId="0" fontId="2" fillId="4" borderId="8" xfId="0" applyFont="1" applyFill="1" applyBorder="1"/>
    <xf numFmtId="0" fontId="2" fillId="4" borderId="4" xfId="0" applyFont="1" applyFill="1" applyBorder="1" applyAlignment="1">
      <alignment vertical="top"/>
    </xf>
    <xf numFmtId="0" fontId="2" fillId="4" borderId="0" xfId="0" applyFont="1" applyFill="1" applyAlignment="1">
      <alignment vertical="top"/>
    </xf>
    <xf numFmtId="0" fontId="2" fillId="0" borderId="8" xfId="0" applyFont="1" applyBorder="1" applyAlignment="1">
      <alignment vertical="top"/>
    </xf>
    <xf numFmtId="3" fontId="23" fillId="0" borderId="8" xfId="0" applyNumberFormat="1" applyFont="1" applyBorder="1" applyAlignment="1">
      <alignment horizontal="right"/>
    </xf>
    <xf numFmtId="10" fontId="23" fillId="0" borderId="8" xfId="0" applyNumberFormat="1" applyFont="1" applyBorder="1" applyAlignment="1">
      <alignment horizontal="right"/>
    </xf>
    <xf numFmtId="0" fontId="2" fillId="0" borderId="8" xfId="0" applyFont="1" applyBorder="1" applyAlignment="1">
      <alignment wrapText="1"/>
    </xf>
    <xf numFmtId="0" fontId="23" fillId="0" borderId="0" xfId="0" applyFont="1"/>
    <xf numFmtId="10" fontId="2" fillId="0" borderId="0" xfId="0" applyNumberFormat="1" applyFont="1"/>
    <xf numFmtId="176" fontId="2" fillId="0" borderId="0" xfId="0" applyNumberFormat="1" applyFont="1" applyAlignment="1">
      <alignment horizontal="right"/>
    </xf>
    <xf numFmtId="10" fontId="23" fillId="0" borderId="0" xfId="0" applyNumberFormat="1" applyFont="1" applyAlignment="1">
      <alignment horizontal="right" wrapText="1"/>
    </xf>
    <xf numFmtId="177" fontId="23" fillId="0" borderId="8" xfId="0" applyNumberFormat="1" applyFont="1" applyBorder="1" applyAlignment="1">
      <alignment horizontal="right" vertical="top"/>
    </xf>
    <xf numFmtId="49" fontId="2" fillId="3" borderId="0" xfId="0" applyNumberFormat="1" applyFont="1" applyFill="1" applyAlignment="1">
      <alignment horizontal="center"/>
    </xf>
    <xf numFmtId="49" fontId="2" fillId="4" borderId="8" xfId="0" applyNumberFormat="1" applyFont="1" applyFill="1" applyBorder="1" applyAlignment="1">
      <alignment horizontal="center"/>
    </xf>
    <xf numFmtId="49" fontId="13" fillId="8" borderId="10" xfId="0" applyNumberFormat="1" applyFont="1" applyFill="1" applyBorder="1"/>
    <xf numFmtId="0" fontId="3" fillId="8" borderId="8" xfId="0" applyFont="1" applyFill="1" applyBorder="1"/>
    <xf numFmtId="3" fontId="3" fillId="8" borderId="8" xfId="0" applyNumberFormat="1" applyFont="1" applyFill="1" applyBorder="1" applyAlignment="1">
      <alignment horizontal="right"/>
    </xf>
    <xf numFmtId="10" fontId="3" fillId="8" borderId="4" xfId="0" applyNumberFormat="1" applyFont="1" applyFill="1" applyBorder="1" applyAlignment="1">
      <alignment horizontal="right"/>
    </xf>
    <xf numFmtId="0" fontId="13" fillId="8" borderId="8" xfId="0" applyFont="1" applyFill="1" applyBorder="1"/>
    <xf numFmtId="49" fontId="3" fillId="0" borderId="10" xfId="0" applyNumberFormat="1" applyFont="1" applyBorder="1" applyAlignment="1">
      <alignment horizontal="center"/>
    </xf>
    <xf numFmtId="0" fontId="3" fillId="0" borderId="0" xfId="0" applyFont="1"/>
    <xf numFmtId="10" fontId="3" fillId="0" borderId="4" xfId="0" applyNumberFormat="1" applyFont="1" applyBorder="1" applyAlignment="1">
      <alignment horizontal="right"/>
    </xf>
    <xf numFmtId="49" fontId="2" fillId="4" borderId="10" xfId="0" applyNumberFormat="1" applyFont="1" applyFill="1" applyBorder="1" applyAlignment="1">
      <alignment horizontal="center"/>
    </xf>
    <xf numFmtId="0" fontId="2" fillId="4" borderId="4" xfId="0" applyFont="1" applyFill="1" applyBorder="1"/>
    <xf numFmtId="0" fontId="2" fillId="4" borderId="0" xfId="0" applyFont="1" applyFill="1"/>
    <xf numFmtId="177" fontId="2" fillId="0" borderId="8" xfId="0" applyNumberFormat="1" applyFont="1" applyBorder="1" applyAlignment="1">
      <alignment vertical="top"/>
    </xf>
    <xf numFmtId="10" fontId="2" fillId="0" borderId="8" xfId="0" applyNumberFormat="1" applyFont="1" applyBorder="1" applyAlignment="1">
      <alignment horizontal="right"/>
    </xf>
    <xf numFmtId="49" fontId="18" fillId="0" borderId="0" xfId="0" applyNumberFormat="1" applyFont="1" applyAlignment="1">
      <alignment horizontal="center"/>
    </xf>
    <xf numFmtId="49" fontId="18" fillId="0" borderId="8" xfId="0" applyNumberFormat="1" applyFont="1" applyBorder="1" applyAlignment="1">
      <alignment horizontal="center"/>
    </xf>
    <xf numFmtId="0" fontId="18" fillId="0" borderId="8" xfId="0" applyFont="1" applyBorder="1"/>
    <xf numFmtId="0" fontId="18" fillId="0" borderId="8" xfId="0" applyFont="1" applyBorder="1" applyAlignment="1">
      <alignment horizontal="right"/>
    </xf>
    <xf numFmtId="10" fontId="18" fillId="0" borderId="8" xfId="0" applyNumberFormat="1" applyFont="1" applyBorder="1" applyAlignment="1">
      <alignment horizontal="right"/>
    </xf>
    <xf numFmtId="0" fontId="18" fillId="0" borderId="4" xfId="0" applyFont="1" applyBorder="1"/>
    <xf numFmtId="0" fontId="18" fillId="0" borderId="0" xfId="0" applyFont="1"/>
    <xf numFmtId="177" fontId="18" fillId="7" borderId="8" xfId="0" applyNumberFormat="1" applyFont="1" applyFill="1" applyBorder="1" applyAlignment="1">
      <alignment horizontal="right"/>
    </xf>
    <xf numFmtId="177" fontId="2" fillId="4" borderId="8" xfId="0" applyNumberFormat="1" applyFont="1" applyFill="1" applyBorder="1" applyAlignment="1">
      <alignment horizontal="right"/>
    </xf>
    <xf numFmtId="3" fontId="23" fillId="3" borderId="8" xfId="0" applyNumberFormat="1" applyFont="1" applyFill="1" applyBorder="1" applyAlignment="1">
      <alignment horizontal="right"/>
    </xf>
    <xf numFmtId="0" fontId="24" fillId="3" borderId="0" xfId="0" applyFont="1" applyFill="1"/>
    <xf numFmtId="3" fontId="2" fillId="0" borderId="8" xfId="0" applyNumberFormat="1" applyFont="1" applyBorder="1"/>
    <xf numFmtId="0" fontId="17" fillId="0" borderId="4" xfId="0" applyFont="1" applyBorder="1"/>
    <xf numFmtId="3" fontId="2" fillId="4" borderId="8" xfId="0" applyNumberFormat="1" applyFont="1" applyFill="1" applyBorder="1" applyAlignment="1">
      <alignment horizontal="right"/>
    </xf>
    <xf numFmtId="0" fontId="2" fillId="2" borderId="8" xfId="0" applyFont="1" applyFill="1" applyBorder="1"/>
    <xf numFmtId="177" fontId="2" fillId="0" borderId="8" xfId="0" applyNumberFormat="1" applyFont="1" applyBorder="1" applyAlignment="1">
      <alignment horizontal="right"/>
    </xf>
    <xf numFmtId="0" fontId="17" fillId="4" borderId="4" xfId="0" applyFont="1" applyFill="1" applyBorder="1"/>
    <xf numFmtId="0" fontId="17" fillId="4" borderId="0" xfId="0" applyFont="1" applyFill="1"/>
    <xf numFmtId="177" fontId="23" fillId="0" borderId="8" xfId="0" applyNumberFormat="1" applyFont="1" applyBorder="1" applyAlignment="1">
      <alignment horizontal="right"/>
    </xf>
    <xf numFmtId="10" fontId="23" fillId="0" borderId="8" xfId="0" applyNumberFormat="1" applyFont="1" applyBorder="1"/>
    <xf numFmtId="0" fontId="25" fillId="0" borderId="0" xfId="0" applyFont="1"/>
    <xf numFmtId="0" fontId="2" fillId="0" borderId="8" xfId="0" applyFont="1" applyBorder="1" applyAlignment="1">
      <alignment vertical="center"/>
    </xf>
    <xf numFmtId="0" fontId="17" fillId="0" borderId="4" xfId="0" applyFont="1" applyBorder="1" applyAlignment="1">
      <alignment horizontal="left"/>
    </xf>
    <xf numFmtId="0" fontId="17" fillId="0" borderId="0" xfId="0" applyFont="1" applyAlignment="1">
      <alignment horizontal="left"/>
    </xf>
    <xf numFmtId="49" fontId="13" fillId="0" borderId="0" xfId="0" applyNumberFormat="1" applyFont="1"/>
    <xf numFmtId="49" fontId="13" fillId="0" borderId="8" xfId="0" applyNumberFormat="1" applyFont="1" applyBorder="1"/>
    <xf numFmtId="0" fontId="3" fillId="0" borderId="8" xfId="0" applyFont="1" applyBorder="1"/>
    <xf numFmtId="177" fontId="3" fillId="0" borderId="8" xfId="0" applyNumberFormat="1" applyFont="1" applyBorder="1" applyAlignment="1">
      <alignment horizontal="right"/>
    </xf>
    <xf numFmtId="10" fontId="3" fillId="0" borderId="8" xfId="0" applyNumberFormat="1" applyFont="1" applyBorder="1" applyAlignment="1">
      <alignment horizontal="right"/>
    </xf>
    <xf numFmtId="0" fontId="13" fillId="0" borderId="0" xfId="0" applyFont="1"/>
    <xf numFmtId="0" fontId="17" fillId="3" borderId="0" xfId="0" applyFont="1" applyFill="1"/>
    <xf numFmtId="3" fontId="18" fillId="7" borderId="8" xfId="0" applyNumberFormat="1" applyFont="1" applyFill="1" applyBorder="1" applyAlignment="1">
      <alignment horizontal="right"/>
    </xf>
    <xf numFmtId="10" fontId="18" fillId="7" borderId="4" xfId="0" applyNumberFormat="1" applyFont="1" applyFill="1" applyBorder="1" applyAlignment="1">
      <alignment horizontal="right"/>
    </xf>
    <xf numFmtId="3" fontId="23" fillId="4" borderId="8" xfId="0" applyNumberFormat="1" applyFont="1" applyFill="1" applyBorder="1"/>
    <xf numFmtId="10" fontId="2" fillId="0" borderId="4" xfId="0" applyNumberFormat="1" applyFont="1" applyBorder="1"/>
    <xf numFmtId="49" fontId="2" fillId="5" borderId="0" xfId="0" applyNumberFormat="1" applyFont="1" applyFill="1" applyAlignment="1">
      <alignment horizontal="center"/>
    </xf>
    <xf numFmtId="49" fontId="2" fillId="5" borderId="8" xfId="0" applyNumberFormat="1" applyFont="1" applyFill="1" applyBorder="1" applyAlignment="1">
      <alignment horizontal="center"/>
    </xf>
    <xf numFmtId="0" fontId="2" fillId="5" borderId="8" xfId="0" applyFont="1" applyFill="1" applyBorder="1"/>
    <xf numFmtId="177" fontId="23" fillId="5" borderId="8" xfId="0" applyNumberFormat="1" applyFont="1" applyFill="1" applyBorder="1" applyAlignment="1">
      <alignment horizontal="right"/>
    </xf>
    <xf numFmtId="10" fontId="23" fillId="5" borderId="8" xfId="0" applyNumberFormat="1" applyFont="1" applyFill="1" applyBorder="1"/>
    <xf numFmtId="0" fontId="23" fillId="0" borderId="8" xfId="0" applyFont="1" applyBorder="1" applyAlignment="1">
      <alignment vertical="center" wrapText="1"/>
    </xf>
    <xf numFmtId="0" fontId="23" fillId="0" borderId="8" xfId="0" applyFont="1" applyBorder="1"/>
    <xf numFmtId="0" fontId="20" fillId="5" borderId="8" xfId="0" applyFont="1" applyFill="1" applyBorder="1"/>
    <xf numFmtId="3" fontId="23" fillId="5" borderId="8" xfId="0" applyNumberFormat="1" applyFont="1" applyFill="1" applyBorder="1" applyAlignment="1">
      <alignment horizontal="right"/>
    </xf>
    <xf numFmtId="10" fontId="23" fillId="5" borderId="8" xfId="0" applyNumberFormat="1" applyFont="1" applyFill="1" applyBorder="1" applyAlignment="1">
      <alignment horizontal="right"/>
    </xf>
    <xf numFmtId="0" fontId="26" fillId="5" borderId="8" xfId="0" applyFont="1" applyFill="1" applyBorder="1"/>
    <xf numFmtId="0" fontId="2" fillId="5" borderId="4" xfId="0" applyFont="1" applyFill="1" applyBorder="1"/>
    <xf numFmtId="0" fontId="23" fillId="5" borderId="8" xfId="0" applyFont="1" applyFill="1" applyBorder="1"/>
    <xf numFmtId="0" fontId="23" fillId="3" borderId="10" xfId="0" applyFont="1" applyFill="1" applyBorder="1"/>
    <xf numFmtId="0" fontId="23" fillId="0" borderId="10" xfId="0" applyFont="1" applyBorder="1"/>
    <xf numFmtId="0" fontId="20" fillId="5" borderId="8" xfId="0" applyFont="1" applyFill="1" applyBorder="1" applyAlignment="1">
      <alignment wrapText="1"/>
    </xf>
    <xf numFmtId="0" fontId="23" fillId="5" borderId="8" xfId="0" applyFont="1" applyFill="1" applyBorder="1" applyAlignment="1">
      <alignment horizontal="left"/>
    </xf>
    <xf numFmtId="49" fontId="2" fillId="5" borderId="0" xfId="0" applyNumberFormat="1" applyFont="1" applyFill="1"/>
    <xf numFmtId="49" fontId="2" fillId="5" borderId="8" xfId="0" applyNumberFormat="1" applyFont="1" applyFill="1" applyBorder="1"/>
    <xf numFmtId="49" fontId="2" fillId="5" borderId="10" xfId="0" applyNumberFormat="1" applyFont="1" applyFill="1" applyBorder="1"/>
    <xf numFmtId="177" fontId="23" fillId="5" borderId="8" xfId="0" applyNumberFormat="1" applyFont="1" applyFill="1" applyBorder="1"/>
    <xf numFmtId="49" fontId="2" fillId="3" borderId="10" xfId="0" applyNumberFormat="1" applyFont="1" applyFill="1" applyBorder="1"/>
    <xf numFmtId="49" fontId="2" fillId="3" borderId="8" xfId="0" applyNumberFormat="1" applyFont="1" applyFill="1" applyBorder="1"/>
    <xf numFmtId="10" fontId="23" fillId="3" borderId="8" xfId="0" applyNumberFormat="1" applyFont="1" applyFill="1" applyBorder="1"/>
    <xf numFmtId="49" fontId="2" fillId="0" borderId="0" xfId="0" applyNumberFormat="1" applyFont="1"/>
    <xf numFmtId="0" fontId="27" fillId="5" borderId="8" xfId="0" applyFont="1" applyFill="1" applyBorder="1"/>
    <xf numFmtId="49" fontId="2" fillId="0" borderId="10" xfId="0" applyNumberFormat="1" applyFont="1" applyBorder="1"/>
    <xf numFmtId="49" fontId="2" fillId="0" borderId="8" xfId="0" applyNumberFormat="1" applyFont="1" applyBorder="1"/>
    <xf numFmtId="49" fontId="23" fillId="0" borderId="8" xfId="0" applyNumberFormat="1" applyFont="1" applyBorder="1"/>
    <xf numFmtId="49" fontId="23" fillId="0" borderId="10" xfId="0" applyNumberFormat="1" applyFont="1" applyBorder="1"/>
    <xf numFmtId="49" fontId="23" fillId="5" borderId="8" xfId="0" applyNumberFormat="1" applyFont="1" applyFill="1" applyBorder="1" applyAlignment="1">
      <alignment horizontal="center"/>
    </xf>
    <xf numFmtId="49" fontId="23" fillId="5" borderId="10" xfId="0" applyNumberFormat="1" applyFont="1" applyFill="1" applyBorder="1" applyAlignment="1">
      <alignment horizontal="center"/>
    </xf>
    <xf numFmtId="49" fontId="23" fillId="0" borderId="8" xfId="0" applyNumberFormat="1" applyFont="1" applyBorder="1" applyAlignment="1">
      <alignment horizontal="center"/>
    </xf>
    <xf numFmtId="49" fontId="23" fillId="0" borderId="10" xfId="0" applyNumberFormat="1" applyFont="1" applyBorder="1" applyAlignment="1">
      <alignment horizontal="center"/>
    </xf>
    <xf numFmtId="177" fontId="23" fillId="0" borderId="8" xfId="0" applyNumberFormat="1" applyFont="1" applyBorder="1" applyAlignment="1">
      <alignment horizontal="right" vertical="center"/>
    </xf>
    <xf numFmtId="3" fontId="2" fillId="5" borderId="8" xfId="0" applyNumberFormat="1" applyFont="1" applyFill="1" applyBorder="1" applyAlignment="1">
      <alignment horizontal="right"/>
    </xf>
    <xf numFmtId="10" fontId="2" fillId="5" borderId="8" xfId="0" applyNumberFormat="1" applyFont="1" applyFill="1" applyBorder="1" applyAlignment="1">
      <alignment horizontal="right"/>
    </xf>
    <xf numFmtId="177" fontId="2" fillId="0" borderId="4" xfId="0" applyNumberFormat="1" applyFont="1" applyBorder="1" applyAlignment="1">
      <alignment horizontal="right" vertical="center"/>
    </xf>
    <xf numFmtId="0" fontId="23" fillId="0" borderId="0" xfId="0" applyFont="1" applyAlignment="1">
      <alignment wrapText="1"/>
    </xf>
    <xf numFmtId="49" fontId="2" fillId="4" borderId="8" xfId="0" applyNumberFormat="1" applyFont="1" applyFill="1" applyBorder="1"/>
    <xf numFmtId="49" fontId="2" fillId="4" borderId="10" xfId="0" applyNumberFormat="1" applyFont="1" applyFill="1" applyBorder="1"/>
    <xf numFmtId="10" fontId="2" fillId="4" borderId="4" xfId="0" applyNumberFormat="1" applyFont="1" applyFill="1" applyBorder="1" applyAlignment="1">
      <alignment horizontal="right"/>
    </xf>
    <xf numFmtId="0" fontId="23" fillId="4" borderId="4" xfId="0" applyFont="1" applyFill="1" applyBorder="1"/>
    <xf numFmtId="49" fontId="18" fillId="7" borderId="4" xfId="0" applyNumberFormat="1" applyFont="1" applyFill="1" applyBorder="1" applyAlignment="1">
      <alignment horizontal="center"/>
    </xf>
    <xf numFmtId="177" fontId="18" fillId="7" borderId="4" xfId="0" applyNumberFormat="1" applyFont="1" applyFill="1" applyBorder="1" applyAlignment="1">
      <alignment horizontal="right"/>
    </xf>
    <xf numFmtId="49" fontId="2" fillId="4" borderId="4" xfId="0" applyNumberFormat="1" applyFont="1" applyFill="1" applyBorder="1"/>
    <xf numFmtId="49" fontId="2" fillId="8" borderId="8" xfId="0" applyNumberFormat="1" applyFont="1" applyFill="1" applyBorder="1" applyAlignment="1">
      <alignment horizontal="center"/>
    </xf>
    <xf numFmtId="49" fontId="2" fillId="8" borderId="0" xfId="0" applyNumberFormat="1" applyFont="1" applyFill="1"/>
    <xf numFmtId="177" fontId="2" fillId="8" borderId="4" xfId="0" applyNumberFormat="1" applyFont="1" applyFill="1" applyBorder="1" applyAlignment="1">
      <alignment wrapText="1"/>
    </xf>
    <xf numFmtId="177" fontId="2" fillId="8" borderId="4" xfId="0" applyNumberFormat="1" applyFont="1" applyFill="1" applyBorder="1" applyAlignment="1">
      <alignment horizontal="right" wrapText="1"/>
    </xf>
    <xf numFmtId="0" fontId="2" fillId="8" borderId="8" xfId="0" applyFont="1" applyFill="1" applyBorder="1"/>
    <xf numFmtId="0" fontId="2" fillId="0" borderId="4" xfId="0" applyFont="1" applyBorder="1" applyAlignment="1">
      <alignment vertical="top"/>
    </xf>
    <xf numFmtId="0" fontId="23" fillId="0" borderId="4" xfId="0" applyFont="1" applyBorder="1"/>
    <xf numFmtId="49" fontId="2" fillId="4" borderId="4" xfId="0" applyNumberFormat="1" applyFont="1" applyFill="1" applyBorder="1" applyAlignment="1">
      <alignment horizontal="center"/>
    </xf>
    <xf numFmtId="177" fontId="2" fillId="4" borderId="4" xfId="0" applyNumberFormat="1" applyFont="1" applyFill="1" applyBorder="1" applyAlignment="1">
      <alignment horizontal="right"/>
    </xf>
    <xf numFmtId="49" fontId="2" fillId="0" borderId="4" xfId="0" applyNumberFormat="1" applyFont="1" applyBorder="1"/>
    <xf numFmtId="3" fontId="2" fillId="0" borderId="4" xfId="0" applyNumberFormat="1" applyFont="1" applyBorder="1" applyAlignment="1">
      <alignment horizontal="right"/>
    </xf>
    <xf numFmtId="10" fontId="2" fillId="0" borderId="4" xfId="0" applyNumberFormat="1" applyFont="1" applyBorder="1" applyAlignment="1">
      <alignment horizontal="right"/>
    </xf>
    <xf numFmtId="3" fontId="2" fillId="0" borderId="4" xfId="0" applyNumberFormat="1" applyFont="1" applyBorder="1"/>
    <xf numFmtId="177" fontId="2" fillId="0" borderId="4" xfId="0" applyNumberFormat="1" applyFont="1" applyBorder="1"/>
    <xf numFmtId="0" fontId="2" fillId="0" borderId="0" xfId="0" applyFont="1" applyAlignment="1">
      <alignment vertical="top"/>
    </xf>
    <xf numFmtId="49" fontId="2" fillId="3" borderId="0" xfId="0" applyNumberFormat="1" applyFont="1" applyFill="1"/>
    <xf numFmtId="49" fontId="2" fillId="4" borderId="4" xfId="0" applyNumberFormat="1" applyFont="1" applyFill="1" applyBorder="1" applyAlignment="1">
      <alignment vertical="top"/>
    </xf>
    <xf numFmtId="177" fontId="2" fillId="4" borderId="4" xfId="0" applyNumberFormat="1" applyFont="1" applyFill="1" applyBorder="1" applyAlignment="1">
      <alignment wrapText="1"/>
    </xf>
    <xf numFmtId="177" fontId="2" fillId="4" borderId="4" xfId="0" applyNumberFormat="1" applyFont="1" applyFill="1" applyBorder="1" applyAlignment="1">
      <alignment horizontal="right" wrapText="1"/>
    </xf>
    <xf numFmtId="177" fontId="2" fillId="4" borderId="4" xfId="0" applyNumberFormat="1" applyFont="1" applyFill="1" applyBorder="1"/>
    <xf numFmtId="177" fontId="2" fillId="4" borderId="4" xfId="0" applyNumberFormat="1" applyFont="1" applyFill="1" applyBorder="1" applyAlignment="1">
      <alignment vertical="top"/>
    </xf>
    <xf numFmtId="0" fontId="2" fillId="8" borderId="0" xfId="0" applyFont="1" applyFill="1"/>
    <xf numFmtId="0" fontId="23" fillId="0" borderId="8" xfId="0" applyFont="1" applyBorder="1" applyAlignment="1">
      <alignment horizontal="left"/>
    </xf>
    <xf numFmtId="49" fontId="2" fillId="8" borderId="0" xfId="0" applyNumberFormat="1" applyFont="1" applyFill="1" applyAlignment="1">
      <alignment horizontal="center"/>
    </xf>
    <xf numFmtId="0" fontId="26" fillId="8" borderId="8" xfId="0" applyFont="1" applyFill="1" applyBorder="1"/>
    <xf numFmtId="0" fontId="2" fillId="8" borderId="4" xfId="0" applyFont="1" applyFill="1" applyBorder="1"/>
    <xf numFmtId="49" fontId="2" fillId="8" borderId="8" xfId="0" applyNumberFormat="1" applyFont="1" applyFill="1" applyBorder="1"/>
    <xf numFmtId="49" fontId="2" fillId="8" borderId="10" xfId="0" applyNumberFormat="1" applyFont="1" applyFill="1" applyBorder="1"/>
    <xf numFmtId="177" fontId="2" fillId="8" borderId="8" xfId="0" applyNumberFormat="1" applyFont="1" applyFill="1" applyBorder="1" applyAlignment="1">
      <alignment horizontal="right"/>
    </xf>
    <xf numFmtId="176" fontId="2" fillId="8" borderId="8" xfId="0" applyNumberFormat="1" applyFont="1" applyFill="1" applyBorder="1" applyAlignment="1">
      <alignment horizontal="right"/>
    </xf>
    <xf numFmtId="49" fontId="2" fillId="7" borderId="0" xfId="0" applyNumberFormat="1" applyFont="1" applyFill="1"/>
    <xf numFmtId="49" fontId="2" fillId="7" borderId="10" xfId="0" applyNumberFormat="1" applyFont="1" applyFill="1" applyBorder="1"/>
    <xf numFmtId="10" fontId="18" fillId="7" borderId="4" xfId="0" applyNumberFormat="1" applyFont="1" applyFill="1" applyBorder="1"/>
    <xf numFmtId="0" fontId="2" fillId="7" borderId="8" xfId="0" applyFont="1" applyFill="1" applyBorder="1"/>
    <xf numFmtId="0" fontId="2" fillId="7" borderId="4" xfId="0" applyFont="1" applyFill="1" applyBorder="1"/>
    <xf numFmtId="0" fontId="2" fillId="7" borderId="0" xfId="0" applyFont="1" applyFill="1"/>
    <xf numFmtId="49" fontId="2" fillId="8" borderId="10" xfId="0" applyNumberFormat="1" applyFont="1" applyFill="1" applyBorder="1" applyAlignment="1">
      <alignment horizontal="center"/>
    </xf>
    <xf numFmtId="3" fontId="2" fillId="8" borderId="8" xfId="0" applyNumberFormat="1" applyFont="1" applyFill="1" applyBorder="1" applyAlignment="1">
      <alignment horizontal="right"/>
    </xf>
    <xf numFmtId="10" fontId="2" fillId="8" borderId="4" xfId="0" applyNumberFormat="1" applyFont="1" applyFill="1" applyBorder="1"/>
    <xf numFmtId="177" fontId="2" fillId="4" borderId="10" xfId="0" applyNumberFormat="1" applyFont="1" applyFill="1" applyBorder="1" applyAlignment="1">
      <alignment horizontal="right"/>
    </xf>
    <xf numFmtId="0" fontId="2" fillId="4" borderId="10" xfId="0" applyFont="1" applyFill="1" applyBorder="1"/>
    <xf numFmtId="177" fontId="20" fillId="5" borderId="8" xfId="0" applyNumberFormat="1" applyFont="1" applyFill="1" applyBorder="1"/>
    <xf numFmtId="177" fontId="2" fillId="5" borderId="10" xfId="0" applyNumberFormat="1" applyFont="1" applyFill="1" applyBorder="1" applyAlignment="1">
      <alignment horizontal="right"/>
    </xf>
    <xf numFmtId="176" fontId="2" fillId="5" borderId="8" xfId="0" applyNumberFormat="1" applyFont="1" applyFill="1" applyBorder="1" applyAlignment="1">
      <alignment horizontal="right"/>
    </xf>
    <xf numFmtId="177" fontId="2" fillId="5" borderId="10" xfId="0" applyNumberFormat="1" applyFont="1" applyFill="1" applyBorder="1"/>
    <xf numFmtId="176" fontId="2" fillId="5" borderId="4" xfId="0" applyNumberFormat="1" applyFont="1" applyFill="1" applyBorder="1"/>
    <xf numFmtId="177" fontId="18" fillId="5" borderId="10" xfId="0" applyNumberFormat="1" applyFont="1" applyFill="1" applyBorder="1"/>
    <xf numFmtId="3" fontId="23" fillId="0" borderId="8" xfId="0" applyNumberFormat="1" applyFont="1" applyBorder="1"/>
    <xf numFmtId="0" fontId="23" fillId="4" borderId="8" xfId="0" applyFont="1" applyFill="1" applyBorder="1" applyAlignment="1">
      <alignment horizontal="left"/>
    </xf>
    <xf numFmtId="177" fontId="2" fillId="0" borderId="10" xfId="0" applyNumberFormat="1" applyFont="1" applyBorder="1" applyAlignment="1">
      <alignment vertical="top"/>
    </xf>
    <xf numFmtId="0" fontId="2" fillId="0" borderId="8" xfId="0" applyFont="1" applyBorder="1" applyAlignment="1">
      <alignment horizontal="left"/>
    </xf>
    <xf numFmtId="10" fontId="23" fillId="0" borderId="4" xfId="0" applyNumberFormat="1" applyFont="1" applyBorder="1"/>
    <xf numFmtId="177" fontId="18" fillId="6" borderId="8" xfId="0" applyNumberFormat="1" applyFont="1" applyFill="1" applyBorder="1" applyAlignment="1">
      <alignment horizontal="right"/>
    </xf>
    <xf numFmtId="49" fontId="23" fillId="0" borderId="10" xfId="0" applyNumberFormat="1" applyFont="1" applyBorder="1" applyAlignment="1">
      <alignment horizontal="left"/>
    </xf>
    <xf numFmtId="3" fontId="18" fillId="6" borderId="8" xfId="0" applyNumberFormat="1" applyFont="1" applyFill="1" applyBorder="1" applyAlignment="1">
      <alignment horizontal="right"/>
    </xf>
    <xf numFmtId="3" fontId="2" fillId="4" borderId="8" xfId="0" applyNumberFormat="1" applyFont="1" applyFill="1" applyBorder="1"/>
    <xf numFmtId="0" fontId="23" fillId="0" borderId="8" xfId="0" applyFont="1" applyBorder="1" applyAlignment="1">
      <alignment wrapText="1"/>
    </xf>
    <xf numFmtId="0" fontId="23" fillId="0" borderId="0" xfId="0" applyFont="1" applyAlignment="1">
      <alignment vertical="top"/>
    </xf>
    <xf numFmtId="3" fontId="23" fillId="0" borderId="8" xfId="0" applyNumberFormat="1" applyFont="1" applyBorder="1" applyAlignment="1">
      <alignment horizontal="right" vertical="top"/>
    </xf>
    <xf numFmtId="177" fontId="2" fillId="4" borderId="8" xfId="0" applyNumberFormat="1" applyFont="1" applyFill="1" applyBorder="1"/>
    <xf numFmtId="0" fontId="14" fillId="0" borderId="0" xfId="0" applyFont="1" applyAlignment="1">
      <alignment horizontal="left"/>
    </xf>
    <xf numFmtId="49" fontId="21" fillId="0" borderId="0" xfId="0" applyNumberFormat="1" applyFont="1" applyAlignment="1">
      <alignment horizontal="center"/>
    </xf>
    <xf numFmtId="0" fontId="34" fillId="0" borderId="0" xfId="0" applyFont="1" applyAlignment="1">
      <alignment horizontal="center"/>
    </xf>
    <xf numFmtId="0" fontId="34" fillId="0" borderId="0" xfId="0" applyFont="1" applyAlignment="1">
      <alignment horizontal="right"/>
    </xf>
    <xf numFmtId="3" fontId="34" fillId="0" borderId="10" xfId="0" applyNumberFormat="1" applyFont="1" applyBorder="1" applyAlignment="1">
      <alignment horizontal="center"/>
    </xf>
    <xf numFmtId="0" fontId="34" fillId="0" borderId="10" xfId="0" applyFont="1" applyBorder="1" applyAlignment="1">
      <alignment horizontal="center"/>
    </xf>
    <xf numFmtId="0" fontId="34" fillId="0" borderId="0" xfId="0" applyFont="1" applyAlignment="1">
      <alignment horizontal="center" vertical="center" wrapText="1"/>
    </xf>
    <xf numFmtId="49" fontId="34" fillId="0" borderId="10" xfId="0" applyNumberFormat="1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3" fontId="36" fillId="0" borderId="10" xfId="0" applyNumberFormat="1" applyFont="1" applyBorder="1"/>
    <xf numFmtId="176" fontId="36" fillId="0" borderId="10" xfId="0" applyNumberFormat="1" applyFont="1" applyBorder="1" applyAlignment="1">
      <alignment horizontal="right"/>
    </xf>
    <xf numFmtId="0" fontId="34" fillId="0" borderId="10" xfId="0" applyFont="1" applyBorder="1"/>
    <xf numFmtId="0" fontId="37" fillId="0" borderId="0" xfId="0" applyFont="1"/>
    <xf numFmtId="177" fontId="36" fillId="0" borderId="10" xfId="0" applyNumberFormat="1" applyFont="1" applyBorder="1"/>
    <xf numFmtId="0" fontId="34" fillId="0" borderId="0" xfId="0" applyFont="1"/>
    <xf numFmtId="49" fontId="36" fillId="4" borderId="10" xfId="0" applyNumberFormat="1" applyFont="1" applyFill="1" applyBorder="1" applyAlignment="1">
      <alignment horizontal="center"/>
    </xf>
    <xf numFmtId="0" fontId="36" fillId="4" borderId="10" xfId="0" applyFont="1" applyFill="1" applyBorder="1"/>
    <xf numFmtId="3" fontId="36" fillId="4" borderId="10" xfId="0" applyNumberFormat="1" applyFont="1" applyFill="1" applyBorder="1"/>
    <xf numFmtId="176" fontId="36" fillId="4" borderId="10" xfId="0" applyNumberFormat="1" applyFont="1" applyFill="1" applyBorder="1" applyAlignment="1">
      <alignment horizontal="right"/>
    </xf>
    <xf numFmtId="0" fontId="36" fillId="4" borderId="0" xfId="0" applyFont="1" applyFill="1"/>
    <xf numFmtId="3" fontId="34" fillId="0" borderId="10" xfId="0" applyNumberFormat="1" applyFont="1" applyBorder="1"/>
    <xf numFmtId="49" fontId="34" fillId="4" borderId="10" xfId="0" applyNumberFormat="1" applyFont="1" applyFill="1" applyBorder="1"/>
    <xf numFmtId="3" fontId="36" fillId="4" borderId="10" xfId="0" applyNumberFormat="1" applyFont="1" applyFill="1" applyBorder="1" applyAlignment="1">
      <alignment horizontal="right"/>
    </xf>
    <xf numFmtId="0" fontId="34" fillId="4" borderId="0" xfId="0" applyFont="1" applyFill="1"/>
    <xf numFmtId="49" fontId="34" fillId="0" borderId="10" xfId="0" applyNumberFormat="1" applyFont="1" applyBorder="1"/>
    <xf numFmtId="3" fontId="34" fillId="0" borderId="10" xfId="0" applyNumberFormat="1" applyFont="1" applyBorder="1" applyAlignment="1">
      <alignment horizontal="right"/>
    </xf>
    <xf numFmtId="176" fontId="34" fillId="0" borderId="10" xfId="0" applyNumberFormat="1" applyFont="1" applyBorder="1"/>
    <xf numFmtId="0" fontId="34" fillId="0" borderId="0" xfId="0" applyFont="1" applyAlignment="1">
      <alignment vertical="top"/>
    </xf>
    <xf numFmtId="3" fontId="29" fillId="0" borderId="0" xfId="0" applyNumberFormat="1" applyFont="1"/>
    <xf numFmtId="10" fontId="34" fillId="0" borderId="10" xfId="0" applyNumberFormat="1" applyFont="1" applyBorder="1" applyAlignment="1">
      <alignment horizontal="right"/>
    </xf>
    <xf numFmtId="0" fontId="34" fillId="3" borderId="0" xfId="0" applyFont="1" applyFill="1" applyAlignment="1">
      <alignment vertical="top"/>
    </xf>
    <xf numFmtId="3" fontId="29" fillId="3" borderId="0" xfId="0" applyNumberFormat="1" applyFont="1" applyFill="1"/>
    <xf numFmtId="0" fontId="34" fillId="3" borderId="0" xfId="0" applyFont="1" applyFill="1"/>
    <xf numFmtId="0" fontId="34" fillId="0" borderId="0" xfId="0" applyFont="1" applyAlignment="1">
      <alignment vertical="center"/>
    </xf>
    <xf numFmtId="49" fontId="34" fillId="0" borderId="10" xfId="0" applyNumberFormat="1" applyFont="1" applyBorder="1" applyAlignment="1">
      <alignment horizontal="center" vertical="center"/>
    </xf>
    <xf numFmtId="0" fontId="34" fillId="0" borderId="10" xfId="0" applyFont="1" applyBorder="1" applyAlignment="1">
      <alignment vertical="center"/>
    </xf>
    <xf numFmtId="3" fontId="34" fillId="0" borderId="10" xfId="0" applyNumberFormat="1" applyFont="1" applyBorder="1" applyAlignment="1">
      <alignment vertical="center"/>
    </xf>
    <xf numFmtId="176" fontId="34" fillId="0" borderId="10" xfId="0" applyNumberFormat="1" applyFont="1" applyBorder="1" applyAlignment="1">
      <alignment horizontal="right" vertical="center"/>
    </xf>
    <xf numFmtId="0" fontId="34" fillId="0" borderId="10" xfId="0" applyFont="1" applyBorder="1" applyAlignment="1">
      <alignment vertical="top"/>
    </xf>
    <xf numFmtId="176" fontId="34" fillId="0" borderId="10" xfId="0" applyNumberFormat="1" applyFont="1" applyBorder="1" applyAlignment="1">
      <alignment horizontal="right"/>
    </xf>
    <xf numFmtId="3" fontId="34" fillId="0" borderId="10" xfId="0" applyNumberFormat="1" applyFont="1" applyBorder="1" applyAlignment="1">
      <alignment vertical="top"/>
    </xf>
    <xf numFmtId="49" fontId="34" fillId="0" borderId="10" xfId="0" applyNumberFormat="1" applyFont="1" applyBorder="1" applyAlignment="1">
      <alignment horizontal="left"/>
    </xf>
    <xf numFmtId="3" fontId="29" fillId="0" borderId="0" xfId="0" applyNumberFormat="1" applyFont="1" applyAlignment="1">
      <alignment horizontal="right" wrapText="1"/>
    </xf>
    <xf numFmtId="10" fontId="34" fillId="0" borderId="0" xfId="0" applyNumberFormat="1" applyFont="1"/>
    <xf numFmtId="0" fontId="34" fillId="0" borderId="0" xfId="0" applyFont="1" applyAlignment="1">
      <alignment horizontal="left" vertical="top" wrapText="1"/>
    </xf>
    <xf numFmtId="49" fontId="32" fillId="0" borderId="10" xfId="0" applyNumberFormat="1" applyFont="1" applyBorder="1" applyAlignment="1">
      <alignment horizontal="center"/>
    </xf>
    <xf numFmtId="0" fontId="32" fillId="0" borderId="0" xfId="0" applyFont="1"/>
    <xf numFmtId="3" fontId="34" fillId="0" borderId="8" xfId="0" applyNumberFormat="1" applyFont="1" applyBorder="1" applyAlignment="1">
      <alignment horizontal="right"/>
    </xf>
    <xf numFmtId="176" fontId="23" fillId="0" borderId="10" xfId="0" applyNumberFormat="1" applyFont="1" applyBorder="1"/>
    <xf numFmtId="10" fontId="23" fillId="0" borderId="10" xfId="0" applyNumberFormat="1" applyFont="1" applyBorder="1"/>
    <xf numFmtId="49" fontId="34" fillId="5" borderId="10" xfId="0" applyNumberFormat="1" applyFont="1" applyFill="1" applyBorder="1" applyAlignment="1">
      <alignment horizontal="center"/>
    </xf>
    <xf numFmtId="49" fontId="32" fillId="5" borderId="10" xfId="0" applyNumberFormat="1" applyFont="1" applyFill="1" applyBorder="1" applyAlignment="1">
      <alignment horizontal="center"/>
    </xf>
    <xf numFmtId="49" fontId="38" fillId="5" borderId="10" xfId="0" applyNumberFormat="1" applyFont="1" applyFill="1" applyBorder="1"/>
    <xf numFmtId="0" fontId="32" fillId="5" borderId="10" xfId="0" applyFont="1" applyFill="1" applyBorder="1"/>
    <xf numFmtId="3" fontId="34" fillId="5" borderId="10" xfId="0" applyNumberFormat="1" applyFont="1" applyFill="1" applyBorder="1" applyAlignment="1">
      <alignment horizontal="right"/>
    </xf>
    <xf numFmtId="176" fontId="34" fillId="5" borderId="10" xfId="0" applyNumberFormat="1" applyFont="1" applyFill="1" applyBorder="1" applyAlignment="1">
      <alignment horizontal="right"/>
    </xf>
    <xf numFmtId="0" fontId="34" fillId="5" borderId="10" xfId="0" applyFont="1" applyFill="1" applyBorder="1"/>
    <xf numFmtId="0" fontId="34" fillId="5" borderId="0" xfId="0" applyFont="1" applyFill="1"/>
    <xf numFmtId="49" fontId="34" fillId="5" borderId="10" xfId="0" applyNumberFormat="1" applyFont="1" applyFill="1" applyBorder="1"/>
    <xf numFmtId="176" fontId="34" fillId="0" borderId="8" xfId="0" applyNumberFormat="1" applyFont="1" applyBorder="1" applyAlignment="1">
      <alignment horizontal="right"/>
    </xf>
    <xf numFmtId="49" fontId="36" fillId="0" borderId="10" xfId="0" applyNumberFormat="1" applyFont="1" applyBorder="1" applyAlignment="1">
      <alignment horizontal="center"/>
    </xf>
    <xf numFmtId="0" fontId="36" fillId="0" borderId="10" xfId="0" applyFont="1" applyBorder="1"/>
    <xf numFmtId="3" fontId="36" fillId="0" borderId="10" xfId="0" applyNumberFormat="1" applyFont="1" applyBorder="1" applyAlignment="1">
      <alignment horizontal="right"/>
    </xf>
    <xf numFmtId="0" fontId="34" fillId="0" borderId="10" xfId="0" applyFont="1" applyBorder="1" applyAlignment="1">
      <alignment horizontal="right"/>
    </xf>
    <xf numFmtId="0" fontId="34" fillId="4" borderId="0" xfId="0" applyFont="1" applyFill="1" applyAlignment="1">
      <alignment wrapText="1"/>
    </xf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23" fillId="0" borderId="16" xfId="0" applyFont="1" applyBorder="1"/>
    <xf numFmtId="0" fontId="37" fillId="0" borderId="16" xfId="0" applyFont="1" applyBorder="1"/>
    <xf numFmtId="0" fontId="34" fillId="0" borderId="16" xfId="0" applyFont="1" applyBorder="1"/>
    <xf numFmtId="0" fontId="36" fillId="4" borderId="16" xfId="0" applyFont="1" applyFill="1" applyBorder="1"/>
    <xf numFmtId="0" fontId="34" fillId="4" borderId="16" xfId="0" applyFont="1" applyFill="1" applyBorder="1"/>
    <xf numFmtId="0" fontId="34" fillId="0" borderId="16" xfId="0" applyFont="1" applyBorder="1" applyAlignment="1">
      <alignment vertical="top"/>
    </xf>
    <xf numFmtId="0" fontId="34" fillId="3" borderId="16" xfId="0" applyFont="1" applyFill="1" applyBorder="1" applyAlignment="1">
      <alignment vertical="top"/>
    </xf>
    <xf numFmtId="0" fontId="34" fillId="3" borderId="16" xfId="0" applyFont="1" applyFill="1" applyBorder="1"/>
    <xf numFmtId="0" fontId="34" fillId="0" borderId="16" xfId="0" applyFont="1" applyBorder="1" applyAlignment="1">
      <alignment vertical="center"/>
    </xf>
    <xf numFmtId="0" fontId="34" fillId="5" borderId="16" xfId="0" applyFont="1" applyFill="1" applyBorder="1"/>
    <xf numFmtId="0" fontId="32" fillId="9" borderId="0" xfId="0" applyFont="1" applyFill="1"/>
    <xf numFmtId="49" fontId="34" fillId="0" borderId="18" xfId="0" applyNumberFormat="1" applyFont="1" applyBorder="1" applyAlignment="1">
      <alignment horizontal="center"/>
    </xf>
    <xf numFmtId="0" fontId="34" fillId="0" borderId="18" xfId="0" applyFont="1" applyBorder="1"/>
    <xf numFmtId="3" fontId="34" fillId="0" borderId="18" xfId="0" applyNumberFormat="1" applyFont="1" applyBorder="1" applyAlignment="1">
      <alignment horizontal="right"/>
    </xf>
    <xf numFmtId="0" fontId="34" fillId="0" borderId="18" xfId="0" applyFont="1" applyBorder="1" applyAlignment="1">
      <alignment horizontal="right"/>
    </xf>
    <xf numFmtId="0" fontId="34" fillId="0" borderId="17" xfId="0" applyFont="1" applyBorder="1"/>
    <xf numFmtId="49" fontId="4" fillId="0" borderId="19" xfId="0" applyNumberFormat="1" applyFont="1" applyBorder="1" applyAlignment="1">
      <alignment horizontal="center"/>
    </xf>
    <xf numFmtId="49" fontId="4" fillId="0" borderId="20" xfId="0" applyNumberFormat="1" applyFont="1" applyBorder="1" applyAlignment="1">
      <alignment horizontal="center"/>
    </xf>
    <xf numFmtId="49" fontId="4" fillId="0" borderId="18" xfId="0" applyNumberFormat="1" applyFont="1" applyBorder="1" applyAlignment="1">
      <alignment horizontal="center"/>
    </xf>
    <xf numFmtId="0" fontId="4" fillId="0" borderId="19" xfId="0" applyFont="1" applyBorder="1" applyAlignment="1">
      <alignment wrapText="1"/>
    </xf>
    <xf numFmtId="3" fontId="4" fillId="0" borderId="21" xfId="0" applyNumberFormat="1" applyFont="1" applyBorder="1" applyAlignment="1">
      <alignment horizontal="right"/>
    </xf>
    <xf numFmtId="176" fontId="14" fillId="0" borderId="21" xfId="0" applyNumberFormat="1" applyFont="1" applyBorder="1"/>
    <xf numFmtId="177" fontId="4" fillId="0" borderId="20" xfId="0" applyNumberFormat="1" applyFont="1" applyBorder="1" applyAlignment="1">
      <alignment horizontal="right"/>
    </xf>
    <xf numFmtId="10" fontId="4" fillId="0" borderId="18" xfId="0" applyNumberFormat="1" applyFont="1" applyBorder="1" applyAlignment="1">
      <alignment horizontal="right"/>
    </xf>
    <xf numFmtId="10" fontId="23" fillId="0" borderId="22" xfId="0" applyNumberFormat="1" applyFont="1" applyBorder="1" applyAlignment="1">
      <alignment horizontal="right"/>
    </xf>
    <xf numFmtId="177" fontId="2" fillId="0" borderId="8" xfId="0" applyNumberFormat="1" applyFont="1" applyBorder="1" applyAlignment="1">
      <alignment horizontal="right" vertical="center"/>
    </xf>
    <xf numFmtId="0" fontId="31" fillId="0" borderId="0" xfId="0" applyFont="1" applyAlignment="1">
      <alignment vertical="center"/>
    </xf>
    <xf numFmtId="3" fontId="23" fillId="0" borderId="4" xfId="0" applyNumberFormat="1" applyFont="1" applyBorder="1" applyAlignment="1">
      <alignment horizontal="right" vertical="center"/>
    </xf>
    <xf numFmtId="10" fontId="23" fillId="3" borderId="23" xfId="0" applyNumberFormat="1" applyFont="1" applyFill="1" applyBorder="1" applyAlignment="1">
      <alignment horizontal="right" vertical="center"/>
    </xf>
    <xf numFmtId="10" fontId="2" fillId="0" borderId="8" xfId="0" applyNumberFormat="1" applyFont="1" applyBorder="1" applyAlignment="1">
      <alignment horizontal="right" vertical="center"/>
    </xf>
    <xf numFmtId="0" fontId="2" fillId="0" borderId="24" xfId="0" applyFont="1" applyBorder="1"/>
    <xf numFmtId="0" fontId="0" fillId="0" borderId="24" xfId="0" applyBorder="1"/>
    <xf numFmtId="0" fontId="0" fillId="0" borderId="25" xfId="0" applyBorder="1"/>
    <xf numFmtId="49" fontId="2" fillId="0" borderId="19" xfId="0" applyNumberFormat="1" applyFont="1" applyBorder="1" applyAlignment="1">
      <alignment horizontal="center"/>
    </xf>
    <xf numFmtId="49" fontId="2" fillId="0" borderId="20" xfId="0" applyNumberFormat="1" applyFont="1" applyBorder="1" applyAlignment="1">
      <alignment horizontal="center"/>
    </xf>
    <xf numFmtId="49" fontId="2" fillId="0" borderId="18" xfId="0" applyNumberFormat="1" applyFont="1" applyBorder="1" applyAlignment="1">
      <alignment horizontal="center"/>
    </xf>
    <xf numFmtId="0" fontId="2" fillId="0" borderId="20" xfId="0" applyFont="1" applyBorder="1"/>
    <xf numFmtId="177" fontId="2" fillId="0" borderId="20" xfId="0" applyNumberFormat="1" applyFont="1" applyBorder="1" applyAlignment="1">
      <alignment horizontal="right"/>
    </xf>
    <xf numFmtId="10" fontId="2" fillId="0" borderId="20" xfId="0" applyNumberFormat="1" applyFont="1" applyBorder="1" applyAlignment="1">
      <alignment horizontal="right"/>
    </xf>
    <xf numFmtId="0" fontId="2" fillId="0" borderId="21" xfId="0" applyFont="1" applyBorder="1"/>
    <xf numFmtId="0" fontId="2" fillId="10" borderId="4" xfId="0" applyFont="1" applyFill="1" applyBorder="1"/>
    <xf numFmtId="0" fontId="40" fillId="0" borderId="8" xfId="0" applyFont="1" applyBorder="1" applyAlignment="1">
      <alignment horizontal="center"/>
    </xf>
    <xf numFmtId="177" fontId="40" fillId="0" borderId="8" xfId="0" applyNumberFormat="1" applyFont="1" applyBorder="1"/>
    <xf numFmtId="176" fontId="40" fillId="0" borderId="3" xfId="0" applyNumberFormat="1" applyFont="1" applyBorder="1" applyAlignment="1">
      <alignment horizontal="right"/>
    </xf>
    <xf numFmtId="3" fontId="40" fillId="0" borderId="4" xfId="0" applyNumberFormat="1" applyFont="1" applyBorder="1"/>
    <xf numFmtId="176" fontId="40" fillId="0" borderId="9" xfId="0" applyNumberFormat="1" applyFont="1" applyBorder="1" applyAlignment="1">
      <alignment horizontal="right"/>
    </xf>
    <xf numFmtId="0" fontId="40" fillId="0" borderId="10" xfId="0" applyFont="1" applyBorder="1" applyAlignment="1">
      <alignment horizontal="center"/>
    </xf>
    <xf numFmtId="176" fontId="40" fillId="0" borderId="0" xfId="0" applyNumberFormat="1" applyFont="1"/>
    <xf numFmtId="176" fontId="40" fillId="0" borderId="4" xfId="0" applyNumberFormat="1" applyFont="1" applyBorder="1"/>
    <xf numFmtId="49" fontId="32" fillId="0" borderId="8" xfId="0" applyNumberFormat="1" applyFont="1" applyBorder="1" applyAlignment="1">
      <alignment horizontal="center"/>
    </xf>
    <xf numFmtId="0" fontId="32" fillId="0" borderId="26" xfId="0" applyFont="1" applyBorder="1"/>
    <xf numFmtId="10" fontId="2" fillId="0" borderId="8" xfId="0" applyNumberFormat="1" applyFont="1" applyBorder="1" applyAlignment="1">
      <alignment vertical="center"/>
    </xf>
    <xf numFmtId="0" fontId="4" fillId="0" borderId="0" xfId="0" applyFont="1" applyAlignment="1">
      <alignment horizontal="left"/>
    </xf>
    <xf numFmtId="0" fontId="0" fillId="0" borderId="0" xfId="0"/>
    <xf numFmtId="0" fontId="4" fillId="0" borderId="0" xfId="0" applyFont="1"/>
    <xf numFmtId="0" fontId="8" fillId="2" borderId="0" xfId="0" applyFont="1" applyFill="1"/>
    <xf numFmtId="0" fontId="8" fillId="4" borderId="0" xfId="0" applyFont="1" applyFill="1"/>
    <xf numFmtId="0" fontId="4" fillId="0" borderId="5" xfId="0" applyFont="1" applyBorder="1"/>
    <xf numFmtId="0" fontId="5" fillId="0" borderId="5" xfId="0" applyFont="1" applyBorder="1"/>
    <xf numFmtId="0" fontId="4" fillId="0" borderId="5" xfId="0" applyFont="1" applyBorder="1" applyAlignment="1">
      <alignment horizontal="center"/>
    </xf>
    <xf numFmtId="0" fontId="5" fillId="0" borderId="6" xfId="0" applyFont="1" applyBorder="1"/>
    <xf numFmtId="0" fontId="40" fillId="0" borderId="4" xfId="0" applyFont="1" applyBorder="1" applyAlignment="1">
      <alignment horizontal="center"/>
    </xf>
    <xf numFmtId="0" fontId="23" fillId="0" borderId="0" xfId="0" applyFont="1"/>
    <xf numFmtId="0" fontId="3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49" fontId="4" fillId="0" borderId="1" xfId="0" applyNumberFormat="1" applyFont="1" applyBorder="1" applyAlignment="1">
      <alignment horizontal="center"/>
    </xf>
    <xf numFmtId="49" fontId="4" fillId="0" borderId="9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34" fillId="0" borderId="0" xfId="0" applyFont="1" applyAlignment="1">
      <alignment horizontal="center" vertical="center" wrapText="1"/>
    </xf>
    <xf numFmtId="0" fontId="35" fillId="0" borderId="0" xfId="0" applyFont="1"/>
    <xf numFmtId="0" fontId="34" fillId="0" borderId="16" xfId="0" applyFont="1" applyBorder="1" applyAlignment="1">
      <alignment horizontal="center" vertical="center" wrapText="1"/>
    </xf>
    <xf numFmtId="0" fontId="23" fillId="0" borderId="16" xfId="0" applyFont="1" applyBorder="1"/>
    <xf numFmtId="0" fontId="21" fillId="0" borderId="0" xfId="0" applyFont="1" applyAlignment="1">
      <alignment horizontal="center"/>
    </xf>
    <xf numFmtId="49" fontId="21" fillId="0" borderId="0" xfId="0" applyNumberFormat="1" applyFont="1" applyAlignment="1">
      <alignment horizontal="center"/>
    </xf>
    <xf numFmtId="0" fontId="34" fillId="0" borderId="0" xfId="0" applyFont="1" applyAlignment="1">
      <alignment horizontal="center"/>
    </xf>
    <xf numFmtId="0" fontId="34" fillId="0" borderId="0" xfId="0" applyFont="1" applyAlignment="1">
      <alignment horizontal="left"/>
    </xf>
    <xf numFmtId="0" fontId="34" fillId="0" borderId="0" xfId="0" applyFont="1" applyAlignment="1">
      <alignment horizontal="right"/>
    </xf>
    <xf numFmtId="49" fontId="34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49" fontId="16" fillId="0" borderId="0" xfId="0" applyNumberFormat="1" applyFont="1" applyAlignment="1">
      <alignment horizontal="center"/>
    </xf>
    <xf numFmtId="49" fontId="2" fillId="0" borderId="12" xfId="0" applyNumberFormat="1" applyFont="1" applyBorder="1" applyAlignment="1">
      <alignment horizontal="center"/>
    </xf>
    <xf numFmtId="0" fontId="5" fillId="0" borderId="13" xfId="0" applyFont="1" applyBorder="1"/>
    <xf numFmtId="0" fontId="5" fillId="0" borderId="14" xfId="0" applyFont="1" applyBorder="1"/>
    <xf numFmtId="0" fontId="2" fillId="0" borderId="3" xfId="0" applyFont="1" applyBorder="1" applyAlignment="1">
      <alignment horizontal="center" vertical="center" wrapText="1"/>
    </xf>
    <xf numFmtId="0" fontId="5" fillId="0" borderId="8" xfId="0" applyFont="1" applyBorder="1"/>
    <xf numFmtId="0" fontId="2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D30"/>
  <sheetViews>
    <sheetView tabSelected="1" zoomScale="75" zoomScaleNormal="75" workbookViewId="0">
      <selection activeCell="C9" sqref="C9:E9"/>
    </sheetView>
  </sheetViews>
  <sheetFormatPr defaultColWidth="12.6328125" defaultRowHeight="15.75" customHeight="1"/>
  <cols>
    <col min="1" max="4" width="3" customWidth="1"/>
    <col min="5" max="30" width="15" customWidth="1"/>
  </cols>
  <sheetData>
    <row r="1" spans="1:30" ht="15.75" customHeight="1">
      <c r="A1" s="519" t="s">
        <v>0</v>
      </c>
      <c r="B1" s="518"/>
      <c r="C1" s="518"/>
      <c r="D1" s="518"/>
      <c r="E1" s="518"/>
      <c r="F1" s="518"/>
      <c r="G1" s="518"/>
      <c r="H1" s="518"/>
      <c r="I1" s="51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5.75" customHeight="1">
      <c r="A2" s="519" t="s">
        <v>1</v>
      </c>
      <c r="B2" s="518"/>
      <c r="C2" s="518"/>
      <c r="D2" s="518"/>
      <c r="E2" s="518"/>
      <c r="F2" s="518"/>
      <c r="G2" s="518"/>
      <c r="H2" s="518"/>
      <c r="I2" s="51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5">
      <c r="A3" s="520" t="s">
        <v>2</v>
      </c>
      <c r="B3" s="509"/>
      <c r="C3" s="509"/>
      <c r="D3" s="509"/>
      <c r="E3" s="509"/>
      <c r="F3" s="509"/>
      <c r="G3" s="509"/>
      <c r="H3" s="509"/>
      <c r="I3" s="509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5.75" customHeight="1">
      <c r="A4" s="521" t="s">
        <v>3</v>
      </c>
      <c r="B4" s="509"/>
      <c r="C4" s="509"/>
      <c r="D4" s="509"/>
      <c r="E4" s="509"/>
      <c r="F4" s="509"/>
      <c r="G4" s="3"/>
      <c r="H4" s="4"/>
      <c r="I4" s="5" t="s">
        <v>4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15.75" customHeight="1">
      <c r="A5" s="522" t="s">
        <v>5</v>
      </c>
      <c r="B5" s="523"/>
      <c r="C5" s="523"/>
      <c r="D5" s="523"/>
      <c r="E5" s="524"/>
      <c r="F5" s="6" t="s">
        <v>6</v>
      </c>
      <c r="G5" s="7" t="s">
        <v>7</v>
      </c>
      <c r="H5" s="8" t="s">
        <v>8</v>
      </c>
      <c r="I5" s="7" t="s">
        <v>9</v>
      </c>
      <c r="J5" s="9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15.75" customHeight="1">
      <c r="A6" s="11" t="s">
        <v>10</v>
      </c>
      <c r="B6" s="11" t="s">
        <v>11</v>
      </c>
      <c r="C6" s="515" t="s">
        <v>12</v>
      </c>
      <c r="D6" s="514"/>
      <c r="E6" s="516"/>
      <c r="F6" s="12" t="s">
        <v>13</v>
      </c>
      <c r="G6" s="13" t="s">
        <v>14</v>
      </c>
      <c r="H6" s="14" t="s">
        <v>13</v>
      </c>
      <c r="I6" s="10" t="s">
        <v>14</v>
      </c>
      <c r="J6" s="9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15.75" customHeight="1">
      <c r="A7" s="435"/>
      <c r="B7" s="497"/>
      <c r="C7" s="517" t="s">
        <v>15</v>
      </c>
      <c r="D7" s="518"/>
      <c r="E7" s="518"/>
      <c r="F7" s="498">
        <f>'表2｜主要表'!G7</f>
        <v>2591697</v>
      </c>
      <c r="G7" s="499">
        <f>F7/F7</f>
        <v>1</v>
      </c>
      <c r="H7" s="500">
        <f>H9+H21+H24</f>
        <v>1843758.2105263157</v>
      </c>
      <c r="I7" s="501">
        <f>H7/H7</f>
        <v>1</v>
      </c>
      <c r="J7" s="18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</row>
    <row r="8" spans="1:30" ht="15.75" customHeight="1">
      <c r="A8" s="502"/>
      <c r="B8" s="502"/>
      <c r="C8" s="517"/>
      <c r="D8" s="518"/>
      <c r="E8" s="518"/>
      <c r="F8" s="498"/>
      <c r="G8" s="503"/>
      <c r="H8" s="500"/>
      <c r="I8" s="504"/>
      <c r="J8" s="23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ht="15.75" customHeight="1">
      <c r="A9" s="24">
        <v>1</v>
      </c>
      <c r="B9" s="24">
        <v>0</v>
      </c>
      <c r="C9" s="511" t="s">
        <v>16</v>
      </c>
      <c r="D9" s="509"/>
      <c r="E9" s="509"/>
      <c r="F9" s="26">
        <f>'表2｜主要表'!G9</f>
        <v>2591697</v>
      </c>
      <c r="G9" s="27">
        <f>'表2｜主要表'!H9</f>
        <v>1</v>
      </c>
      <c r="H9" s="28">
        <f>'表2｜主要表'!I9</f>
        <v>1565084.3157894737</v>
      </c>
      <c r="I9" s="29">
        <f>'表2｜主要表'!J9</f>
        <v>0.84885550982452718</v>
      </c>
      <c r="J9" s="30"/>
      <c r="K9" s="31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</row>
    <row r="10" spans="1:30" ht="15.75" customHeight="1">
      <c r="A10" s="20"/>
      <c r="B10" s="33">
        <v>1</v>
      </c>
      <c r="C10" s="510" t="s">
        <v>17</v>
      </c>
      <c r="D10" s="509"/>
      <c r="E10" s="509"/>
      <c r="F10" s="35">
        <f>'表2｜主要表'!G11</f>
        <v>2095497</v>
      </c>
      <c r="G10" s="36">
        <f>'表2｜主要表'!H11</f>
        <v>0.80854243377987478</v>
      </c>
      <c r="H10" s="37">
        <f>'表2｜主要表'!I11</f>
        <v>126421.05263157895</v>
      </c>
      <c r="I10" s="38">
        <f>'表2｜主要表'!J11</f>
        <v>8.0775873450503854E-2</v>
      </c>
      <c r="J10" s="38"/>
      <c r="K10" s="39"/>
      <c r="L10" s="40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</row>
    <row r="11" spans="1:30" ht="15.75" customHeight="1">
      <c r="A11" s="33"/>
      <c r="B11" s="33">
        <v>2</v>
      </c>
      <c r="C11" s="510" t="s">
        <v>18</v>
      </c>
      <c r="D11" s="509"/>
      <c r="E11" s="509"/>
      <c r="F11" s="42">
        <v>0</v>
      </c>
      <c r="G11" s="36">
        <f>'表2｜主要表'!H17</f>
        <v>0</v>
      </c>
      <c r="H11" s="43">
        <f>'表2｜主要表'!I17</f>
        <v>84105.263157894733</v>
      </c>
      <c r="I11" s="38">
        <f>'表2｜主要表'!J17</f>
        <v>5.3738486999960519E-2</v>
      </c>
      <c r="J11" s="38"/>
      <c r="K11" s="39"/>
      <c r="L11" s="40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</row>
    <row r="12" spans="1:30" ht="15.75" customHeight="1">
      <c r="A12" s="33"/>
      <c r="B12" s="33">
        <v>3</v>
      </c>
      <c r="C12" s="510" t="s">
        <v>19</v>
      </c>
      <c r="D12" s="509"/>
      <c r="E12" s="509"/>
      <c r="F12" s="44">
        <f>'表2｜主要表'!G22</f>
        <v>0</v>
      </c>
      <c r="G12" s="5">
        <f>'表2｜主要表'!H22</f>
        <v>0</v>
      </c>
      <c r="H12" s="44">
        <f>'表2｜主要表'!I22</f>
        <v>24053</v>
      </c>
      <c r="I12" s="41">
        <f>'表2｜主要表'!J22</f>
        <v>1.5368501081596344E-2</v>
      </c>
      <c r="J12" s="38"/>
      <c r="K12" s="39"/>
      <c r="L12" s="40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</row>
    <row r="13" spans="1:30" ht="15.75" customHeight="1">
      <c r="A13" s="33"/>
      <c r="B13" s="33">
        <v>4</v>
      </c>
      <c r="C13" s="510" t="s">
        <v>20</v>
      </c>
      <c r="D13" s="509"/>
      <c r="E13" s="509"/>
      <c r="F13" s="44">
        <f>'表2｜主要表'!G27</f>
        <v>220000</v>
      </c>
      <c r="G13" s="36">
        <f>'表2｜主要表'!H27</f>
        <v>8.4886466280587589E-2</v>
      </c>
      <c r="H13" s="44">
        <f>'表2｜主要表'!I27</f>
        <v>273054</v>
      </c>
      <c r="I13" s="5">
        <f>'表2｜主要表'!J27</f>
        <v>0.17446599984759523</v>
      </c>
      <c r="J13" s="45"/>
      <c r="K13" s="39"/>
      <c r="L13" s="40"/>
      <c r="M13" s="41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15.75" customHeight="1">
      <c r="A14" s="33"/>
      <c r="B14" s="33">
        <v>5</v>
      </c>
      <c r="C14" s="510" t="s">
        <v>21</v>
      </c>
      <c r="D14" s="509"/>
      <c r="E14" s="509"/>
      <c r="F14" s="42">
        <v>0</v>
      </c>
      <c r="G14" s="36">
        <f>'表2｜主要表'!H33</f>
        <v>0</v>
      </c>
      <c r="H14" s="44">
        <f>'表2｜主要表'!I33</f>
        <v>160316</v>
      </c>
      <c r="I14" s="5">
        <f>'表2｜主要表'!J33</f>
        <v>0.10243281999738907</v>
      </c>
      <c r="J14" s="45"/>
      <c r="K14" s="39"/>
      <c r="L14" s="34"/>
      <c r="M14" s="41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15.75" customHeight="1">
      <c r="A15" s="33"/>
      <c r="B15" s="33">
        <v>6</v>
      </c>
      <c r="C15" s="510" t="s">
        <v>22</v>
      </c>
      <c r="D15" s="509"/>
      <c r="E15" s="509"/>
      <c r="F15" s="44">
        <f>'表2｜主要表'!G61</f>
        <v>160000</v>
      </c>
      <c r="G15" s="36">
        <f>'表2｜主要表'!H61</f>
        <v>6.1735611840427335E-2</v>
      </c>
      <c r="H15" s="44">
        <f>'表2｜主要表'!I61</f>
        <v>252806</v>
      </c>
      <c r="I15" s="5">
        <f>'表2｜主要表'!J61</f>
        <v>0.16152867768819046</v>
      </c>
      <c r="J15" s="45"/>
      <c r="K15" s="39"/>
      <c r="L15" s="40"/>
      <c r="M15" s="41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15.75" customHeight="1">
      <c r="A16" s="33"/>
      <c r="B16" s="33">
        <v>7</v>
      </c>
      <c r="C16" s="510" t="s">
        <v>23</v>
      </c>
      <c r="D16" s="509"/>
      <c r="E16" s="509"/>
      <c r="F16" s="44">
        <f>'表2｜主要表'!G70</f>
        <v>0</v>
      </c>
      <c r="G16" s="5">
        <f>'表2｜主要表'!H70</f>
        <v>0</v>
      </c>
      <c r="H16" s="44">
        <f>'表2｜主要表'!I70</f>
        <v>36316</v>
      </c>
      <c r="I16" s="5">
        <f>'表2｜主要表'!J70</f>
        <v>2.3203861692065557E-2</v>
      </c>
      <c r="J16" s="45"/>
      <c r="K16" s="39"/>
      <c r="L16" s="40"/>
      <c r="M16" s="41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ht="15.75" customHeight="1">
      <c r="A17" s="33"/>
      <c r="B17" s="33">
        <v>8</v>
      </c>
      <c r="C17" s="510" t="s">
        <v>24</v>
      </c>
      <c r="D17" s="509"/>
      <c r="E17" s="509"/>
      <c r="F17" s="44">
        <f>'表2｜主要表'!G76</f>
        <v>50000</v>
      </c>
      <c r="G17" s="36">
        <f>'表2｜主要表'!H76</f>
        <v>1.929237870013354E-2</v>
      </c>
      <c r="H17" s="44">
        <f>'表2｜主要表'!I76</f>
        <v>409202</v>
      </c>
      <c r="I17" s="5">
        <f>'表2｜主要表'!J76</f>
        <v>0.26145684029399191</v>
      </c>
      <c r="J17" s="45"/>
      <c r="K17" s="39"/>
      <c r="L17" s="40"/>
      <c r="M17" s="41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ht="15.75" customHeight="1">
      <c r="A18" s="33"/>
      <c r="B18" s="33">
        <v>9</v>
      </c>
      <c r="C18" s="510" t="s">
        <v>25</v>
      </c>
      <c r="D18" s="509"/>
      <c r="E18" s="509"/>
      <c r="F18" s="44">
        <f>'表2｜主要表'!G83</f>
        <v>66200</v>
      </c>
      <c r="G18" s="36">
        <f>'表2｜主要表'!H83</f>
        <v>2.5543109398976808E-2</v>
      </c>
      <c r="H18" s="44">
        <f>'表2｜主要表'!I83</f>
        <v>110474</v>
      </c>
      <c r="I18" s="5">
        <f>'表2｜主要表'!J83</f>
        <v>7.0586612417921857E-2</v>
      </c>
      <c r="J18" s="45"/>
      <c r="K18" s="39"/>
      <c r="L18" s="34"/>
      <c r="M18" s="41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ht="15.75" customHeight="1">
      <c r="A19" s="33"/>
      <c r="B19" s="33" t="s">
        <v>26</v>
      </c>
      <c r="C19" s="510" t="s">
        <v>27</v>
      </c>
      <c r="D19" s="509"/>
      <c r="E19" s="509"/>
      <c r="F19" s="44">
        <f>'表2｜主要表'!G95</f>
        <v>0</v>
      </c>
      <c r="G19" s="36">
        <f>'表2｜主要表'!H95</f>
        <v>0</v>
      </c>
      <c r="H19" s="44">
        <f>'表2｜主要表'!I95</f>
        <v>88337</v>
      </c>
      <c r="I19" s="5">
        <f>'表2｜主要表'!J95</f>
        <v>5.6442326530785188E-2</v>
      </c>
      <c r="J19" s="45"/>
      <c r="K19" s="39"/>
      <c r="L19" s="34"/>
      <c r="M19" s="41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ht="15.75" customHeight="1">
      <c r="A20" s="20"/>
      <c r="B20" s="20"/>
      <c r="C20" s="510"/>
      <c r="D20" s="509"/>
      <c r="E20" s="509"/>
      <c r="F20" s="46"/>
      <c r="G20" s="22"/>
      <c r="H20" s="47"/>
      <c r="I20" s="22"/>
      <c r="J20" s="23"/>
      <c r="K20" s="48"/>
      <c r="L20" s="40"/>
      <c r="M20" s="41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ht="15.75" customHeight="1">
      <c r="A21" s="24">
        <v>2</v>
      </c>
      <c r="B21" s="24">
        <v>0</v>
      </c>
      <c r="C21" s="511" t="s">
        <v>28</v>
      </c>
      <c r="D21" s="509"/>
      <c r="E21" s="509"/>
      <c r="F21" s="26">
        <f>'表2｜主要表'!G104</f>
        <v>0</v>
      </c>
      <c r="G21" s="27">
        <f>'表2｜主要表'!H104</f>
        <v>0</v>
      </c>
      <c r="H21" s="26">
        <f>'表2｜主要表'!I104</f>
        <v>184316</v>
      </c>
      <c r="I21" s="49">
        <f>'表2｜主要表'!J104</f>
        <v>9.996755482780223E-2</v>
      </c>
      <c r="J21" s="50"/>
      <c r="K21" s="51"/>
      <c r="L21" s="32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</row>
    <row r="22" spans="1:30" ht="15.75" customHeight="1">
      <c r="A22" s="33"/>
      <c r="B22" s="33">
        <v>1</v>
      </c>
      <c r="C22" s="510" t="s">
        <v>29</v>
      </c>
      <c r="D22" s="509"/>
      <c r="E22" s="509"/>
      <c r="F22" s="44">
        <f>'表2｜主要表'!G105</f>
        <v>0</v>
      </c>
      <c r="G22" s="36">
        <f>'表2｜主要表'!H105</f>
        <v>0</v>
      </c>
      <c r="H22" s="44">
        <f>'表2｜主要表'!I105</f>
        <v>184316</v>
      </c>
      <c r="I22" s="5">
        <f>'表2｜主要表'!J105</f>
        <v>1</v>
      </c>
      <c r="J22" s="45"/>
      <c r="K22" s="5"/>
      <c r="L22" s="52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15.75" customHeight="1">
      <c r="A23" s="33"/>
      <c r="B23" s="33"/>
      <c r="C23" s="510"/>
      <c r="D23" s="509"/>
      <c r="E23" s="509"/>
      <c r="F23" s="54"/>
      <c r="G23" s="41"/>
      <c r="H23" s="55"/>
      <c r="I23" s="41"/>
      <c r="J23" s="38"/>
      <c r="K23" s="41"/>
      <c r="L23" s="40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</row>
    <row r="24" spans="1:30" ht="16">
      <c r="A24" s="56">
        <v>3</v>
      </c>
      <c r="B24" s="56">
        <v>0</v>
      </c>
      <c r="C24" s="512" t="s">
        <v>30</v>
      </c>
      <c r="D24" s="509"/>
      <c r="E24" s="509"/>
      <c r="F24" s="58">
        <f>'表2｜主要表'!G112</f>
        <v>0</v>
      </c>
      <c r="G24" s="59">
        <f>'表2｜主要表'!H112</f>
        <v>0</v>
      </c>
      <c r="H24" s="58">
        <f>'表2｜主要表'!I112</f>
        <v>94357.894736842107</v>
      </c>
      <c r="I24" s="60">
        <f>'表2｜主要表'!J112</f>
        <v>5.1176935347670607E-2</v>
      </c>
      <c r="J24" s="50"/>
      <c r="K24" s="51"/>
      <c r="L24" s="6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</row>
    <row r="25" spans="1:30" ht="16">
      <c r="A25" s="62"/>
      <c r="B25" s="62">
        <v>1</v>
      </c>
      <c r="C25" s="513" t="s">
        <v>31</v>
      </c>
      <c r="D25" s="514"/>
      <c r="E25" s="514"/>
      <c r="F25" s="63">
        <f>'表2｜主要表'!G113</f>
        <v>0</v>
      </c>
      <c r="G25" s="64">
        <f>'表2｜主要表'!H113</f>
        <v>0</v>
      </c>
      <c r="H25" s="63">
        <f>'表2｜主要表'!I113</f>
        <v>94357.894736842107</v>
      </c>
      <c r="I25" s="64">
        <f>'表2｜主要表'!J113</f>
        <v>1</v>
      </c>
      <c r="J25" s="4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16">
      <c r="A26" s="53"/>
      <c r="B26" s="53"/>
      <c r="C26" s="53"/>
      <c r="D26" s="53"/>
      <c r="E26" s="34"/>
      <c r="F26" s="34"/>
      <c r="G26" s="41"/>
      <c r="H26" s="40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</row>
    <row r="27" spans="1:30" ht="16">
      <c r="A27" s="53" t="s">
        <v>10</v>
      </c>
      <c r="B27" s="53"/>
      <c r="C27" s="508" t="s">
        <v>32</v>
      </c>
      <c r="D27" s="509"/>
      <c r="E27" s="509"/>
      <c r="F27" s="34"/>
      <c r="G27" s="41"/>
      <c r="H27" s="40"/>
      <c r="I27" s="41"/>
      <c r="J27" s="40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</row>
    <row r="28" spans="1:30" ht="16">
      <c r="A28" s="53" t="s">
        <v>11</v>
      </c>
      <c r="B28" s="53"/>
      <c r="C28" s="508" t="s">
        <v>33</v>
      </c>
      <c r="D28" s="509"/>
      <c r="E28" s="509"/>
      <c r="F28" s="34"/>
      <c r="G28" s="41"/>
      <c r="H28" s="40"/>
      <c r="I28" s="65"/>
      <c r="J28" s="40"/>
      <c r="K28" s="41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</row>
    <row r="29" spans="1:30" ht="16">
      <c r="A29" s="53" t="s">
        <v>34</v>
      </c>
      <c r="B29" s="53"/>
      <c r="C29" s="508" t="s">
        <v>35</v>
      </c>
      <c r="D29" s="509"/>
      <c r="E29" s="509"/>
      <c r="F29" s="34"/>
      <c r="G29" s="41"/>
      <c r="H29" s="40"/>
      <c r="I29" s="41"/>
      <c r="J29" s="34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</row>
    <row r="30" spans="1:30" ht="16">
      <c r="A30" s="53" t="s">
        <v>36</v>
      </c>
      <c r="B30" s="53"/>
      <c r="C30" s="508" t="s">
        <v>37</v>
      </c>
      <c r="D30" s="509"/>
      <c r="E30" s="509"/>
      <c r="F30" s="34"/>
      <c r="G30" s="41"/>
      <c r="H30" s="40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</row>
  </sheetData>
  <mergeCells count="29">
    <mergeCell ref="A1:I1"/>
    <mergeCell ref="A2:I2"/>
    <mergeCell ref="A3:I3"/>
    <mergeCell ref="A4:F4"/>
    <mergeCell ref="A5:E5"/>
    <mergeCell ref="C6:E6"/>
    <mergeCell ref="C7:E7"/>
    <mergeCell ref="C9:E9"/>
    <mergeCell ref="C10:E10"/>
    <mergeCell ref="C11:E11"/>
    <mergeCell ref="C8:E8"/>
    <mergeCell ref="C12:E12"/>
    <mergeCell ref="C13:E13"/>
    <mergeCell ref="C14:E14"/>
    <mergeCell ref="C15:E15"/>
    <mergeCell ref="C25:E25"/>
    <mergeCell ref="C27:E27"/>
    <mergeCell ref="C28:E28"/>
    <mergeCell ref="C29:E29"/>
    <mergeCell ref="C30:E30"/>
    <mergeCell ref="C16:E16"/>
    <mergeCell ref="C17:E17"/>
    <mergeCell ref="C18:E18"/>
    <mergeCell ref="C19:E19"/>
    <mergeCell ref="C21:E21"/>
    <mergeCell ref="C22:E22"/>
    <mergeCell ref="C24:E24"/>
    <mergeCell ref="C20:E20"/>
    <mergeCell ref="C23:E23"/>
  </mergeCells>
  <phoneticPr fontId="30" type="noConversion"/>
  <printOptions horizontalCentered="1"/>
  <pageMargins left="0.25" right="0.25" top="0.75" bottom="0.75" header="0" footer="0"/>
  <pageSetup paperSize="9" fitToHeight="0" orientation="portrait"/>
  <headerFooter>
    <oddFooter>&amp;L&amp;A&amp;R&amp;P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15"/>
  <sheetViews>
    <sheetView zoomScale="75" zoomScaleNormal="75" workbookViewId="0">
      <pane ySplit="8" topLeftCell="A9" activePane="bottomLeft" state="frozen"/>
      <selection pane="bottomLeft" activeCell="F9" sqref="F9"/>
    </sheetView>
  </sheetViews>
  <sheetFormatPr defaultColWidth="12.6328125" defaultRowHeight="15.75" customHeight="1"/>
  <cols>
    <col min="1" max="4" width="3" customWidth="1"/>
    <col min="5" max="5" width="5" customWidth="1"/>
    <col min="6" max="6" width="28.7265625" customWidth="1"/>
    <col min="7" max="7" width="12.453125" customWidth="1"/>
    <col min="8" max="8" width="9.90625" customWidth="1"/>
    <col min="9" max="9" width="12.6328125" customWidth="1"/>
    <col min="10" max="10" width="11.1796875" customWidth="1"/>
    <col min="11" max="30" width="29.26953125" customWidth="1"/>
  </cols>
  <sheetData>
    <row r="1" spans="1:30" ht="15.75" customHeight="1">
      <c r="A1" s="528" t="s">
        <v>0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5.75" customHeight="1">
      <c r="A2" s="529" t="s">
        <v>38</v>
      </c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</row>
    <row r="3" spans="1:30" ht="15.75" customHeight="1">
      <c r="A3" s="530" t="s">
        <v>2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</row>
    <row r="4" spans="1:30" ht="15.75" customHeight="1">
      <c r="A4" s="521" t="s">
        <v>3</v>
      </c>
      <c r="B4" s="509"/>
      <c r="C4" s="509"/>
      <c r="D4" s="509"/>
      <c r="E4" s="509"/>
      <c r="F4" s="509"/>
      <c r="G4" s="509"/>
      <c r="H4" s="509"/>
      <c r="I4" s="3"/>
      <c r="J4" s="531"/>
      <c r="K4" s="509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</row>
    <row r="5" spans="1:30" ht="15.75" customHeight="1">
      <c r="A5" s="525" t="s">
        <v>39</v>
      </c>
      <c r="B5" s="523"/>
      <c r="C5" s="523"/>
      <c r="D5" s="523"/>
      <c r="E5" s="526" t="s">
        <v>40</v>
      </c>
      <c r="F5" s="523"/>
      <c r="G5" s="69" t="s">
        <v>41</v>
      </c>
      <c r="H5" s="70"/>
      <c r="I5" s="71" t="s">
        <v>42</v>
      </c>
      <c r="J5" s="70"/>
      <c r="K5" s="527" t="s">
        <v>43</v>
      </c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</row>
    <row r="6" spans="1:30" ht="15.75" customHeight="1">
      <c r="A6" s="73" t="s">
        <v>10</v>
      </c>
      <c r="B6" s="73" t="s">
        <v>11</v>
      </c>
      <c r="C6" s="73" t="s">
        <v>34</v>
      </c>
      <c r="D6" s="73" t="s">
        <v>36</v>
      </c>
      <c r="E6" s="74" t="s">
        <v>44</v>
      </c>
      <c r="F6" s="75" t="s">
        <v>45</v>
      </c>
      <c r="G6" s="76" t="s">
        <v>13</v>
      </c>
      <c r="H6" s="77"/>
      <c r="I6" s="78" t="s">
        <v>13</v>
      </c>
      <c r="J6" s="77"/>
      <c r="K6" s="509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</row>
    <row r="7" spans="1:30" ht="15.75" customHeight="1">
      <c r="A7" s="68"/>
      <c r="B7" s="79"/>
      <c r="C7" s="68"/>
      <c r="D7" s="79"/>
      <c r="E7" s="80"/>
      <c r="F7" s="81" t="s">
        <v>15</v>
      </c>
      <c r="G7" s="82">
        <f>G9+G104+G112</f>
        <v>2591697</v>
      </c>
      <c r="H7" s="16">
        <f>G7/G7</f>
        <v>1</v>
      </c>
      <c r="I7" s="83">
        <f>'表3-2｜期出預算附屬表'!G6</f>
        <v>1843758.2105263157</v>
      </c>
      <c r="J7" s="17">
        <f>I7/I7</f>
        <v>1</v>
      </c>
      <c r="K7" s="84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</row>
    <row r="8" spans="1:30" ht="15.75" customHeight="1">
      <c r="A8" s="73"/>
      <c r="B8" s="86"/>
      <c r="C8" s="73"/>
      <c r="D8" s="86"/>
      <c r="E8" s="80"/>
      <c r="F8" s="87"/>
      <c r="G8" s="88"/>
      <c r="H8" s="15"/>
      <c r="I8" s="15"/>
      <c r="J8" s="89"/>
      <c r="K8" s="90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spans="1:30" ht="15.75" customHeight="1">
      <c r="A9" s="91" t="s">
        <v>46</v>
      </c>
      <c r="B9" s="92" t="s">
        <v>47</v>
      </c>
      <c r="C9" s="91" t="s">
        <v>47</v>
      </c>
      <c r="D9" s="92" t="s">
        <v>47</v>
      </c>
      <c r="E9" s="93"/>
      <c r="F9" s="94" t="s">
        <v>16</v>
      </c>
      <c r="G9" s="26">
        <f>'表3-1｜期入預算附屬表'!G9</f>
        <v>2591697</v>
      </c>
      <c r="H9" s="95">
        <f>G9/G7</f>
        <v>1</v>
      </c>
      <c r="I9" s="96">
        <f>'表3-2｜期出預算附屬表'!G8</f>
        <v>1565084.3157894737</v>
      </c>
      <c r="J9" s="95">
        <f>'表3-2｜期出預算附屬表'!H8</f>
        <v>0.84885550982452718</v>
      </c>
      <c r="K9" s="97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spans="1:30" ht="15.75" customHeight="1">
      <c r="A10" s="73"/>
      <c r="B10" s="86"/>
      <c r="C10" s="73"/>
      <c r="D10" s="86"/>
      <c r="E10" s="80"/>
      <c r="F10" s="98"/>
      <c r="G10" s="47"/>
      <c r="H10" s="99"/>
      <c r="I10" s="100"/>
      <c r="J10" s="34"/>
      <c r="K10" s="90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 spans="1:30" ht="15.75" customHeight="1">
      <c r="A11" s="101"/>
      <c r="B11" s="102" t="s">
        <v>46</v>
      </c>
      <c r="C11" s="103" t="s">
        <v>47</v>
      </c>
      <c r="D11" s="102" t="s">
        <v>47</v>
      </c>
      <c r="E11" s="104"/>
      <c r="F11" s="105" t="s">
        <v>17</v>
      </c>
      <c r="G11" s="58">
        <f>'表3-1｜期入預算附屬表'!G11</f>
        <v>2095497</v>
      </c>
      <c r="H11" s="106">
        <f>G11/G9</f>
        <v>0.80854243377987478</v>
      </c>
      <c r="I11" s="107">
        <f>'表3-2｜期出預算附屬表'!G10</f>
        <v>126421.05263157895</v>
      </c>
      <c r="J11" s="108">
        <f>'表3-2｜期出預算附屬表'!H10</f>
        <v>8.0775873450503854E-2</v>
      </c>
      <c r="K11" s="109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</row>
    <row r="12" spans="1:30" ht="15.75" customHeight="1">
      <c r="A12" s="73"/>
      <c r="B12" s="86"/>
      <c r="C12" s="73"/>
      <c r="D12" s="86"/>
      <c r="E12" s="80"/>
      <c r="F12" s="98"/>
      <c r="G12" s="55"/>
      <c r="H12" s="99"/>
      <c r="I12" s="100"/>
      <c r="J12" s="34"/>
      <c r="K12" s="90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</row>
    <row r="13" spans="1:30" ht="15.75" customHeight="1">
      <c r="A13" s="73"/>
      <c r="B13" s="110"/>
      <c r="C13" s="111" t="s">
        <v>47</v>
      </c>
      <c r="D13" s="110" t="s">
        <v>46</v>
      </c>
      <c r="E13" s="112"/>
      <c r="F13" s="113" t="s">
        <v>48</v>
      </c>
      <c r="G13" s="55">
        <f>'表3-1｜期入預算附屬表'!G13</f>
        <v>2095497</v>
      </c>
      <c r="H13" s="36">
        <f>G13/G7</f>
        <v>0.80854243377987478</v>
      </c>
      <c r="I13" s="100">
        <f>'表3-2｜期出預算附屬表'!G11</f>
        <v>104700</v>
      </c>
      <c r="J13" s="45">
        <f>'表3-2｜期出預算附屬表'!H11</f>
        <v>0.82818484596169861</v>
      </c>
      <c r="K13" s="114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</row>
    <row r="14" spans="1:30" ht="15.75" customHeight="1">
      <c r="A14" s="73"/>
      <c r="B14" s="110"/>
      <c r="C14" s="111" t="s">
        <v>47</v>
      </c>
      <c r="D14" s="110" t="s">
        <v>49</v>
      </c>
      <c r="E14" s="112"/>
      <c r="F14" s="113" t="s">
        <v>50</v>
      </c>
      <c r="G14" s="55">
        <v>0</v>
      </c>
      <c r="H14" s="115">
        <v>0</v>
      </c>
      <c r="I14" s="100">
        <v>15400</v>
      </c>
      <c r="J14" s="45">
        <f>'表3-2｜期出預算附屬表'!H20</f>
        <v>0.12181515403830141</v>
      </c>
      <c r="K14" s="114" t="str">
        <f>"會費支出："&amp;(I14-G14)</f>
        <v>會費支出：15400</v>
      </c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</row>
    <row r="15" spans="1:30" ht="15.75" customHeight="1">
      <c r="A15" s="73"/>
      <c r="B15" s="86"/>
      <c r="C15" s="73" t="s">
        <v>51</v>
      </c>
      <c r="D15" s="86" t="s">
        <v>51</v>
      </c>
      <c r="E15" s="80"/>
      <c r="F15" s="113" t="s">
        <v>52</v>
      </c>
      <c r="G15" s="116">
        <f>'表3-1｜期入預算附屬表'!G18</f>
        <v>0</v>
      </c>
      <c r="H15" s="115">
        <v>0</v>
      </c>
      <c r="I15" s="100">
        <f>'表3-2｜期出預算附屬表'!G25</f>
        <v>6321.0526315789466</v>
      </c>
      <c r="J15" s="39">
        <f>'表3-2｜期出預算附屬表'!H25</f>
        <v>4.9999999999999996E-2</v>
      </c>
      <c r="K15" s="117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</row>
    <row r="16" spans="1:30" ht="15.75" customHeight="1">
      <c r="A16" s="73"/>
      <c r="B16" s="86"/>
      <c r="C16" s="73"/>
      <c r="D16" s="86"/>
      <c r="E16" s="80"/>
      <c r="F16" s="113"/>
      <c r="G16" s="44"/>
      <c r="H16" s="99"/>
      <c r="I16" s="100"/>
      <c r="J16" s="34"/>
      <c r="K16" s="90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</row>
    <row r="17" spans="1:30" ht="15.75" customHeight="1">
      <c r="A17" s="101"/>
      <c r="B17" s="102" t="s">
        <v>49</v>
      </c>
      <c r="C17" s="103" t="s">
        <v>47</v>
      </c>
      <c r="D17" s="102" t="s">
        <v>47</v>
      </c>
      <c r="E17" s="104"/>
      <c r="F17" s="105" t="s">
        <v>18</v>
      </c>
      <c r="G17" s="118">
        <v>0</v>
      </c>
      <c r="H17" s="106">
        <v>0</v>
      </c>
      <c r="I17" s="118">
        <f>'表3-2｜期出預算附屬表'!G29</f>
        <v>84105.263157894733</v>
      </c>
      <c r="J17" s="108">
        <f>'表3-2｜期出預算附屬表'!H29</f>
        <v>5.3738486999960519E-2</v>
      </c>
      <c r="K17" s="109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</row>
    <row r="18" spans="1:30" ht="15.75" customHeight="1">
      <c r="A18" s="73"/>
      <c r="B18" s="86"/>
      <c r="C18" s="73"/>
      <c r="D18" s="86"/>
      <c r="E18" s="80"/>
      <c r="F18" s="98"/>
      <c r="G18" s="44"/>
      <c r="H18" s="99"/>
      <c r="I18" s="100"/>
      <c r="J18" s="34"/>
      <c r="K18" s="90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19" spans="1:30" ht="15.75" customHeight="1">
      <c r="A19" s="73"/>
      <c r="B19" s="86"/>
      <c r="C19" s="73" t="s">
        <v>47</v>
      </c>
      <c r="D19" s="86" t="s">
        <v>46</v>
      </c>
      <c r="E19" s="80"/>
      <c r="F19" s="98" t="s">
        <v>48</v>
      </c>
      <c r="G19" s="116">
        <f>'表3-1｜期入預算附屬表'!G22</f>
        <v>0</v>
      </c>
      <c r="H19" s="115">
        <v>0</v>
      </c>
      <c r="I19" s="100">
        <f>'表3-2｜期出預算附屬表'!G30</f>
        <v>79900</v>
      </c>
      <c r="J19" s="39">
        <f>'表3-2｜期出預算附屬表'!H30</f>
        <v>0.95000000000000007</v>
      </c>
      <c r="K19" s="37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</row>
    <row r="20" spans="1:30" ht="15.75" customHeight="1">
      <c r="A20" s="73"/>
      <c r="B20" s="86"/>
      <c r="C20" s="73" t="s">
        <v>51</v>
      </c>
      <c r="D20" s="86" t="s">
        <v>51</v>
      </c>
      <c r="E20" s="80"/>
      <c r="F20" s="98" t="s">
        <v>52</v>
      </c>
      <c r="G20" s="116">
        <f>'表3-1｜期入預算附屬表'!G23</f>
        <v>0</v>
      </c>
      <c r="H20" s="115">
        <v>0</v>
      </c>
      <c r="I20" s="100">
        <f>'表3-2｜期出預算附屬表'!G44</f>
        <v>4205.2631578947367</v>
      </c>
      <c r="J20" s="39">
        <f>'表3-2｜期出預算附屬表'!H44</f>
        <v>0.05</v>
      </c>
      <c r="K20" s="90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</row>
    <row r="21" spans="1:30" ht="15.75" customHeight="1">
      <c r="A21" s="73"/>
      <c r="B21" s="86"/>
      <c r="C21" s="73"/>
      <c r="D21" s="86"/>
      <c r="E21" s="80"/>
      <c r="F21" s="98"/>
      <c r="G21" s="44"/>
      <c r="H21" s="115"/>
      <c r="I21" s="100"/>
      <c r="J21" s="34"/>
      <c r="K21" s="90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</row>
    <row r="22" spans="1:30" ht="15.75" customHeight="1">
      <c r="A22" s="103"/>
      <c r="B22" s="102" t="s">
        <v>53</v>
      </c>
      <c r="C22" s="103" t="s">
        <v>47</v>
      </c>
      <c r="D22" s="102" t="s">
        <v>47</v>
      </c>
      <c r="E22" s="104"/>
      <c r="F22" s="105" t="s">
        <v>19</v>
      </c>
      <c r="G22" s="118">
        <f>'表3-1｜期入預算附屬表'!G25</f>
        <v>0</v>
      </c>
      <c r="H22" s="106">
        <v>0</v>
      </c>
      <c r="I22" s="118">
        <f>'表3-2｜期出預算附屬表'!G48</f>
        <v>24053</v>
      </c>
      <c r="J22" s="108">
        <f>'表3-2｜期出預算附屬表'!H48</f>
        <v>1.5368501081596344E-2</v>
      </c>
      <c r="K22" s="109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</row>
    <row r="23" spans="1:30" ht="15.75" customHeight="1">
      <c r="A23" s="73"/>
      <c r="B23" s="86"/>
      <c r="C23" s="73"/>
      <c r="D23" s="86"/>
      <c r="E23" s="80"/>
      <c r="F23" s="98"/>
      <c r="G23" s="44"/>
      <c r="H23" s="36"/>
      <c r="I23" s="34"/>
      <c r="J23" s="90"/>
      <c r="K23" s="90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spans="1:30" ht="15.75" customHeight="1">
      <c r="A24" s="73"/>
      <c r="B24" s="86"/>
      <c r="C24" s="73" t="s">
        <v>47</v>
      </c>
      <c r="D24" s="86" t="s">
        <v>46</v>
      </c>
      <c r="E24" s="80"/>
      <c r="F24" s="98" t="s">
        <v>48</v>
      </c>
      <c r="G24" s="44">
        <f>'表3-1｜期入預算附屬表'!G27</f>
        <v>0</v>
      </c>
      <c r="H24" s="36">
        <v>0</v>
      </c>
      <c r="I24" s="65">
        <f>'表3-2｜期出預算附屬表'!G49</f>
        <v>22850</v>
      </c>
      <c r="J24" s="119">
        <f>'表3-2｜期出預算附屬表'!H49</f>
        <v>0.94998544880056546</v>
      </c>
      <c r="K24" s="37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</row>
    <row r="25" spans="1:30" ht="15.75" customHeight="1">
      <c r="A25" s="73"/>
      <c r="B25" s="86"/>
      <c r="C25" s="73" t="s">
        <v>51</v>
      </c>
      <c r="D25" s="86" t="s">
        <v>51</v>
      </c>
      <c r="E25" s="80"/>
      <c r="F25" s="98" t="s">
        <v>52</v>
      </c>
      <c r="G25" s="44">
        <f>'表3-1｜期入預算附屬表'!G28</f>
        <v>0</v>
      </c>
      <c r="H25" s="36">
        <v>0</v>
      </c>
      <c r="I25" s="65">
        <f>'表3-2｜期出預算附屬表'!G57</f>
        <v>1203</v>
      </c>
      <c r="J25" s="119">
        <f>'表3-2｜期出預算附屬表'!H57</f>
        <v>5.0014551199434584E-2</v>
      </c>
      <c r="K25" s="37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</row>
    <row r="26" spans="1:30" ht="15.75" customHeight="1">
      <c r="A26" s="73"/>
      <c r="B26" s="86"/>
      <c r="C26" s="73"/>
      <c r="D26" s="86"/>
      <c r="E26" s="80"/>
      <c r="F26" s="98"/>
      <c r="G26" s="44"/>
      <c r="H26" s="99"/>
      <c r="I26" s="34"/>
      <c r="J26" s="90"/>
      <c r="K26" s="90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spans="1:30" ht="15.75" customHeight="1">
      <c r="A27" s="103"/>
      <c r="B27" s="102" t="s">
        <v>54</v>
      </c>
      <c r="C27" s="103" t="s">
        <v>47</v>
      </c>
      <c r="D27" s="102" t="s">
        <v>47</v>
      </c>
      <c r="E27" s="104"/>
      <c r="F27" s="105" t="s">
        <v>20</v>
      </c>
      <c r="G27" s="118">
        <f>'表3-1｜期入預算附屬表'!G30</f>
        <v>220000</v>
      </c>
      <c r="H27" s="106">
        <f>'表3-1｜期入預算附屬表'!H30</f>
        <v>8.4886466280587589E-2</v>
      </c>
      <c r="I27" s="118">
        <f>SUM(I29:I31)</f>
        <v>273054</v>
      </c>
      <c r="J27" s="108">
        <f>'表3-2｜期出預算附屬表'!H61</f>
        <v>0.17446599984759523</v>
      </c>
      <c r="K27" s="109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</row>
    <row r="28" spans="1:30" ht="15.75" customHeight="1">
      <c r="A28" s="73"/>
      <c r="B28" s="86"/>
      <c r="C28" s="73"/>
      <c r="D28" s="86"/>
      <c r="E28" s="80"/>
      <c r="F28" s="98"/>
      <c r="G28" s="120"/>
      <c r="H28" s="99"/>
      <c r="I28" s="100"/>
      <c r="J28" s="34"/>
      <c r="K28" s="90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spans="1:30" ht="15.75" customHeight="1">
      <c r="A29" s="73"/>
      <c r="B29" s="86"/>
      <c r="C29" s="73" t="s">
        <v>47</v>
      </c>
      <c r="D29" s="86" t="s">
        <v>46</v>
      </c>
      <c r="E29" s="80"/>
      <c r="F29" s="98" t="s">
        <v>48</v>
      </c>
      <c r="G29" s="44">
        <f>'表3-1｜期入預算附屬表'!G32</f>
        <v>0</v>
      </c>
      <c r="H29" s="36">
        <v>0</v>
      </c>
      <c r="I29" s="65">
        <f>'表3-2｜期出預算附屬表'!G62</f>
        <v>22700</v>
      </c>
      <c r="J29" s="119">
        <f>'表3-2｜期出預算附屬表'!H62</f>
        <v>8.3133739113874908E-2</v>
      </c>
      <c r="K29" s="37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</row>
    <row r="30" spans="1:30" ht="15.75" customHeight="1">
      <c r="A30" s="73"/>
      <c r="B30" s="86"/>
      <c r="C30" s="73" t="s">
        <v>47</v>
      </c>
      <c r="D30" s="86" t="s">
        <v>49</v>
      </c>
      <c r="E30" s="80"/>
      <c r="F30" s="98" t="s">
        <v>55</v>
      </c>
      <c r="G30" s="44">
        <f>'表3-1｜期入預算附屬表'!G33</f>
        <v>220000</v>
      </c>
      <c r="H30" s="36">
        <f>'表3-1｜期入預算附屬表'!H33</f>
        <v>1</v>
      </c>
      <c r="I30" s="65">
        <f>'表3-2｜期出預算附屬表'!G66</f>
        <v>236701</v>
      </c>
      <c r="J30" s="119">
        <f>'表3-2｜期出預算附屬表'!H66</f>
        <v>0.86686516220234822</v>
      </c>
      <c r="K30" s="37" t="str">
        <f>"會費支出："&amp;(I30-G30)</f>
        <v>會費支出：16701</v>
      </c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</row>
    <row r="31" spans="1:30" ht="15.75" customHeight="1">
      <c r="A31" s="73"/>
      <c r="B31" s="86"/>
      <c r="C31" s="73" t="s">
        <v>51</v>
      </c>
      <c r="D31" s="86" t="s">
        <v>51</v>
      </c>
      <c r="E31" s="80"/>
      <c r="F31" s="98" t="s">
        <v>52</v>
      </c>
      <c r="G31" s="44">
        <f>'表3-1｜期入預算附屬表'!G39</f>
        <v>0</v>
      </c>
      <c r="H31" s="36">
        <v>0</v>
      </c>
      <c r="I31" s="65">
        <f>'表3-2｜期出預算附屬表'!G70</f>
        <v>13653</v>
      </c>
      <c r="J31" s="119">
        <f>'表3-2｜期出預算附屬表'!H70</f>
        <v>5.0001098683776835E-2</v>
      </c>
      <c r="K31" s="37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</row>
    <row r="32" spans="1:30" ht="15.75" customHeight="1">
      <c r="A32" s="73"/>
      <c r="B32" s="86"/>
      <c r="C32" s="73"/>
      <c r="D32" s="86"/>
      <c r="E32" s="80"/>
      <c r="F32" s="98"/>
      <c r="G32" s="44"/>
      <c r="H32" s="99"/>
      <c r="I32" s="100"/>
      <c r="J32" s="34"/>
      <c r="K32" s="90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spans="1:30" ht="16">
      <c r="A33" s="103"/>
      <c r="B33" s="102" t="s">
        <v>56</v>
      </c>
      <c r="C33" s="103" t="s">
        <v>47</v>
      </c>
      <c r="D33" s="102" t="s">
        <v>47</v>
      </c>
      <c r="E33" s="104"/>
      <c r="F33" s="105" t="s">
        <v>21</v>
      </c>
      <c r="G33" s="118">
        <v>0</v>
      </c>
      <c r="H33" s="106">
        <v>0</v>
      </c>
      <c r="I33" s="118">
        <f>'表3-2｜期出預算附屬表'!G74</f>
        <v>160316</v>
      </c>
      <c r="J33" s="108">
        <f>'表3-2｜期出預算附屬表'!H74</f>
        <v>0.10243281999738907</v>
      </c>
      <c r="K33" s="109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</row>
    <row r="34" spans="1:30" ht="16">
      <c r="A34" s="73"/>
      <c r="B34" s="86"/>
      <c r="C34" s="73"/>
      <c r="D34" s="86"/>
      <c r="E34" s="80"/>
      <c r="F34" s="98"/>
      <c r="G34" s="44"/>
      <c r="H34" s="99"/>
      <c r="I34" s="100"/>
      <c r="J34" s="34"/>
      <c r="K34" s="90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spans="1:30" ht="16">
      <c r="A35" s="73"/>
      <c r="B35" s="86"/>
      <c r="C35" s="73" t="s">
        <v>47</v>
      </c>
      <c r="D35" s="86" t="s">
        <v>46</v>
      </c>
      <c r="E35" s="80"/>
      <c r="F35" s="98" t="s">
        <v>48</v>
      </c>
      <c r="G35" s="44">
        <f>'表3-1｜期入預算附屬表'!G43</f>
        <v>0</v>
      </c>
      <c r="H35" s="115">
        <v>0</v>
      </c>
      <c r="I35" s="100">
        <f>'表3-2｜期出預算附屬表'!G75</f>
        <v>3000</v>
      </c>
      <c r="J35" s="39">
        <f>'表3-2｜期出預算附屬表'!H75</f>
        <v>1.8713041742558448E-2</v>
      </c>
      <c r="K35" s="37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</row>
    <row r="36" spans="1:30" ht="16">
      <c r="A36" s="123"/>
      <c r="B36" s="124"/>
      <c r="C36" s="123" t="s">
        <v>46</v>
      </c>
      <c r="D36" s="124" t="s">
        <v>47</v>
      </c>
      <c r="E36" s="125"/>
      <c r="F36" s="126" t="s">
        <v>57</v>
      </c>
      <c r="G36" s="127">
        <f>'表3-1｜期入預算附屬表'!G45</f>
        <v>0</v>
      </c>
      <c r="H36" s="128">
        <v>0</v>
      </c>
      <c r="I36" s="129">
        <f>'表3-2｜期出預算附屬表'!G78</f>
        <v>52220</v>
      </c>
      <c r="J36" s="130">
        <f>'表3-2｜期出預算附屬表'!H78</f>
        <v>0.32573167993213403</v>
      </c>
      <c r="K36" s="131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</row>
    <row r="37" spans="1:30" ht="16">
      <c r="A37" s="73"/>
      <c r="B37" s="86"/>
      <c r="C37" s="73"/>
      <c r="D37" s="86" t="s">
        <v>46</v>
      </c>
      <c r="E37" s="80"/>
      <c r="F37" s="98" t="s">
        <v>48</v>
      </c>
      <c r="G37" s="44">
        <v>0</v>
      </c>
      <c r="H37" s="115">
        <v>0</v>
      </c>
      <c r="I37" s="100">
        <f>'表3-2｜期出預算附屬表'!G79</f>
        <v>3000</v>
      </c>
      <c r="J37" s="39">
        <f>'表3-2｜期出預算附屬表'!H79</f>
        <v>5.7449253159708925E-2</v>
      </c>
      <c r="K37" s="11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spans="1:30" ht="16">
      <c r="A38" s="73"/>
      <c r="B38" s="86"/>
      <c r="C38" s="73"/>
      <c r="D38" s="86" t="s">
        <v>49</v>
      </c>
      <c r="E38" s="80"/>
      <c r="F38" s="133" t="s">
        <v>58</v>
      </c>
      <c r="G38" s="44">
        <v>0</v>
      </c>
      <c r="H38" s="115">
        <v>0</v>
      </c>
      <c r="I38" s="44">
        <f>'表3-2｜期出預算附屬表'!G81</f>
        <v>5820</v>
      </c>
      <c r="J38" s="39">
        <f>'表3-2｜期出預算附屬表'!H81</f>
        <v>0.11145155112983532</v>
      </c>
      <c r="K38" s="114" t="str">
        <f t="shared" ref="K38:K42" si="0">"會費支出："&amp;(I38-G38)</f>
        <v>會費支出：5820</v>
      </c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</row>
    <row r="39" spans="1:30" ht="16">
      <c r="A39" s="73"/>
      <c r="B39" s="86"/>
      <c r="C39" s="73"/>
      <c r="D39" s="86" t="s">
        <v>53</v>
      </c>
      <c r="E39" s="80"/>
      <c r="F39" s="133" t="s">
        <v>59</v>
      </c>
      <c r="G39" s="44">
        <v>0</v>
      </c>
      <c r="H39" s="115">
        <v>0</v>
      </c>
      <c r="I39" s="100">
        <f>'表3-2｜期出預算附屬表'!G85</f>
        <v>6700</v>
      </c>
      <c r="J39" s="39">
        <f>'表3-2｜期出預算附屬表'!H85</f>
        <v>0.12830333205668326</v>
      </c>
      <c r="K39" s="114" t="str">
        <f t="shared" si="0"/>
        <v>會費支出：6700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</row>
    <row r="40" spans="1:30" ht="16">
      <c r="A40" s="73"/>
      <c r="B40" s="86"/>
      <c r="C40" s="73"/>
      <c r="D40" s="86" t="s">
        <v>54</v>
      </c>
      <c r="E40" s="80"/>
      <c r="F40" s="134" t="s">
        <v>60</v>
      </c>
      <c r="G40" s="44">
        <v>0</v>
      </c>
      <c r="H40" s="115">
        <v>0</v>
      </c>
      <c r="I40" s="100">
        <f>'表3-2｜期出預算附屬表'!G89</f>
        <v>16800</v>
      </c>
      <c r="J40" s="39">
        <f>'表3-2｜期出預算附屬表'!H89</f>
        <v>0.32171581769436997</v>
      </c>
      <c r="K40" s="114" t="str">
        <f t="shared" si="0"/>
        <v>會費支出：16800</v>
      </c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</row>
    <row r="41" spans="1:30" ht="16">
      <c r="A41" s="73"/>
      <c r="B41" s="86"/>
      <c r="C41" s="73"/>
      <c r="D41" s="86" t="s">
        <v>56</v>
      </c>
      <c r="E41" s="80"/>
      <c r="F41" s="134" t="s">
        <v>61</v>
      </c>
      <c r="G41" s="44">
        <v>0</v>
      </c>
      <c r="H41" s="115">
        <v>0</v>
      </c>
      <c r="I41" s="100">
        <f>'表3-2｜期出預算附屬表'!G100</f>
        <v>10000</v>
      </c>
      <c r="J41" s="39">
        <f>'表3-2｜期出預算附屬表'!H100</f>
        <v>0.19149751053236308</v>
      </c>
      <c r="K41" s="114" t="str">
        <f t="shared" si="0"/>
        <v>會費支出：10000</v>
      </c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</row>
    <row r="42" spans="1:30" ht="16">
      <c r="A42" s="73"/>
      <c r="B42" s="86"/>
      <c r="C42" s="73"/>
      <c r="D42" s="86" t="s">
        <v>62</v>
      </c>
      <c r="E42" s="80"/>
      <c r="F42" s="134" t="s">
        <v>63</v>
      </c>
      <c r="G42" s="44">
        <v>0</v>
      </c>
      <c r="H42" s="115">
        <v>0</v>
      </c>
      <c r="I42" s="100">
        <f>'表3-2｜期出預算附屬表'!G104</f>
        <v>9900</v>
      </c>
      <c r="J42" s="39">
        <f>'表3-2｜期出預算附屬表'!H104</f>
        <v>0.18958253542703946</v>
      </c>
      <c r="K42" s="114" t="str">
        <f t="shared" si="0"/>
        <v>會費支出：9900</v>
      </c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</row>
    <row r="43" spans="1:30" ht="16">
      <c r="A43" s="73"/>
      <c r="B43" s="86"/>
      <c r="C43" s="73"/>
      <c r="D43" s="86"/>
      <c r="E43" s="80"/>
      <c r="F43" s="98"/>
      <c r="G43" s="44"/>
      <c r="H43" s="99"/>
      <c r="I43" s="100"/>
      <c r="J43" s="34"/>
      <c r="K43" s="90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spans="1:30" ht="16">
      <c r="A44" s="123"/>
      <c r="B44" s="124"/>
      <c r="C44" s="123" t="s">
        <v>49</v>
      </c>
      <c r="D44" s="124" t="s">
        <v>47</v>
      </c>
      <c r="E44" s="125"/>
      <c r="F44" s="126" t="s">
        <v>64</v>
      </c>
      <c r="G44" s="127">
        <f>'表3-1｜期入預算附屬表'!G53</f>
        <v>0</v>
      </c>
      <c r="H44" s="128">
        <v>0</v>
      </c>
      <c r="I44" s="129">
        <f>'表3-2｜期出預算附屬表'!G112</f>
        <v>26780</v>
      </c>
      <c r="J44" s="130">
        <f>'表3-2｜期出預算附屬表'!H112</f>
        <v>0.1670450859552384</v>
      </c>
      <c r="K44" s="131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</row>
    <row r="45" spans="1:30" ht="16">
      <c r="A45" s="73"/>
      <c r="B45" s="86"/>
      <c r="C45" s="73"/>
      <c r="D45" s="86" t="s">
        <v>46</v>
      </c>
      <c r="E45" s="80"/>
      <c r="F45" s="98" t="s">
        <v>48</v>
      </c>
      <c r="G45" s="44">
        <v>0</v>
      </c>
      <c r="H45" s="115">
        <v>0</v>
      </c>
      <c r="I45" s="100">
        <f>'表3-2｜期出預算附屬表'!G113</f>
        <v>3000</v>
      </c>
      <c r="J45" s="39">
        <f>'表3-2｜期出預算附屬表'!H113</f>
        <v>0.11202389843166542</v>
      </c>
      <c r="K45" s="11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 spans="1:30" ht="32">
      <c r="A46" s="73"/>
      <c r="B46" s="86"/>
      <c r="C46" s="73"/>
      <c r="D46" s="86" t="s">
        <v>49</v>
      </c>
      <c r="E46" s="80"/>
      <c r="F46" s="98" t="s">
        <v>65</v>
      </c>
      <c r="G46" s="44">
        <v>0</v>
      </c>
      <c r="H46" s="115">
        <v>0</v>
      </c>
      <c r="I46" s="100">
        <f>'表3-2｜期出預算附屬表'!G115</f>
        <v>12380</v>
      </c>
      <c r="J46" s="39">
        <f>'表3-2｜期出預算附屬表'!H115</f>
        <v>0.46228528752800596</v>
      </c>
      <c r="K46" s="114" t="str">
        <f t="shared" ref="K46:K47" si="1">"會費支出："&amp;(I46-G46)</f>
        <v>會費支出：12380</v>
      </c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spans="1:30" ht="32">
      <c r="A47" s="73"/>
      <c r="B47" s="86"/>
      <c r="C47" s="73"/>
      <c r="D47" s="86" t="s">
        <v>53</v>
      </c>
      <c r="E47" s="80"/>
      <c r="F47" s="98" t="s">
        <v>66</v>
      </c>
      <c r="G47" s="44">
        <v>0</v>
      </c>
      <c r="H47" s="115">
        <v>0</v>
      </c>
      <c r="I47" s="100">
        <f>'表3-2｜期出預算附屬表'!G121</f>
        <v>11400</v>
      </c>
      <c r="J47" s="39">
        <f>'表3-2｜期出預算附屬表'!H121</f>
        <v>0.4256908140403286</v>
      </c>
      <c r="K47" s="114" t="str">
        <f t="shared" si="1"/>
        <v>會費支出：11400</v>
      </c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 spans="1:30" ht="16">
      <c r="A48" s="73"/>
      <c r="B48" s="86"/>
      <c r="C48" s="73"/>
      <c r="D48" s="86"/>
      <c r="E48" s="80"/>
      <c r="F48" s="98"/>
      <c r="G48" s="44"/>
      <c r="H48" s="135"/>
      <c r="I48" s="100"/>
      <c r="J48" s="34"/>
      <c r="K48" s="90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 spans="1:30" ht="16">
      <c r="A49" s="123"/>
      <c r="B49" s="124"/>
      <c r="C49" s="123" t="s">
        <v>53</v>
      </c>
      <c r="D49" s="124" t="s">
        <v>47</v>
      </c>
      <c r="E49" s="125"/>
      <c r="F49" s="126" t="s">
        <v>67</v>
      </c>
      <c r="G49" s="127">
        <f>'表3-1｜期入預算附屬表'!G57</f>
        <v>0</v>
      </c>
      <c r="H49" s="136">
        <v>0</v>
      </c>
      <c r="I49" s="129">
        <f>'表3-2｜期出預算附屬表'!G130</f>
        <v>29900</v>
      </c>
      <c r="J49" s="130">
        <f>'表3-2｜期出預算附屬表'!H130</f>
        <v>0.18650664936749919</v>
      </c>
      <c r="K49" s="131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  <c r="AA49" s="132"/>
      <c r="AB49" s="132"/>
      <c r="AC49" s="132"/>
      <c r="AD49" s="132"/>
    </row>
    <row r="50" spans="1:30" ht="16">
      <c r="A50" s="73"/>
      <c r="B50" s="86"/>
      <c r="C50" s="73"/>
      <c r="D50" s="86" t="s">
        <v>46</v>
      </c>
      <c r="E50" s="80"/>
      <c r="F50" s="98" t="s">
        <v>48</v>
      </c>
      <c r="G50" s="44">
        <v>0</v>
      </c>
      <c r="H50" s="135">
        <v>0</v>
      </c>
      <c r="I50" s="100">
        <f>'表3-2｜期出預算附屬表'!G131</f>
        <v>3000</v>
      </c>
      <c r="J50" s="39">
        <f>'表3-2｜期出預算附屬表'!H131</f>
        <v>0.10033444816053512</v>
      </c>
      <c r="K50" s="90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</row>
    <row r="51" spans="1:30" ht="31.5">
      <c r="A51" s="73"/>
      <c r="B51" s="86"/>
      <c r="C51" s="73"/>
      <c r="D51" s="86" t="s">
        <v>49</v>
      </c>
      <c r="E51" s="80"/>
      <c r="F51" s="137" t="s">
        <v>68</v>
      </c>
      <c r="G51" s="44">
        <v>0</v>
      </c>
      <c r="H51" s="135">
        <v>0</v>
      </c>
      <c r="I51" s="100">
        <f>'表3-2｜期出預算附屬表'!G133</f>
        <v>26900</v>
      </c>
      <c r="J51" s="39">
        <f>'表3-2｜期出預算附屬表'!H133</f>
        <v>0.89966555183946484</v>
      </c>
      <c r="K51" s="114" t="str">
        <f>"會費支出："&amp;(I51-G51)</f>
        <v>會費支出：26900</v>
      </c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</row>
    <row r="52" spans="1:30" ht="16">
      <c r="A52" s="73"/>
      <c r="B52" s="86"/>
      <c r="C52" s="73"/>
      <c r="D52" s="86"/>
      <c r="E52" s="80"/>
      <c r="F52" s="98"/>
      <c r="G52" s="44"/>
      <c r="H52" s="135"/>
      <c r="I52" s="100"/>
      <c r="J52" s="34"/>
      <c r="K52" s="90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</row>
    <row r="53" spans="1:30" ht="16">
      <c r="A53" s="123"/>
      <c r="B53" s="124"/>
      <c r="C53" s="123" t="s">
        <v>54</v>
      </c>
      <c r="D53" s="124" t="s">
        <v>47</v>
      </c>
      <c r="E53" s="125"/>
      <c r="F53" s="126" t="s">
        <v>69</v>
      </c>
      <c r="G53" s="127">
        <f>'表3-1｜期入預算附屬表'!G62</f>
        <v>0</v>
      </c>
      <c r="H53" s="136">
        <v>0</v>
      </c>
      <c r="I53" s="129">
        <f>'表3-2｜期出預算附屬表'!G143</f>
        <v>40400</v>
      </c>
      <c r="J53" s="130">
        <f>'表3-2｜期出預算附屬表'!H143</f>
        <v>0.25200229546645375</v>
      </c>
      <c r="K53" s="131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</row>
    <row r="54" spans="1:30" ht="16">
      <c r="A54" s="73"/>
      <c r="B54" s="86"/>
      <c r="C54" s="73"/>
      <c r="D54" s="86" t="s">
        <v>46</v>
      </c>
      <c r="E54" s="80"/>
      <c r="F54" s="98" t="s">
        <v>48</v>
      </c>
      <c r="G54" s="44">
        <v>0</v>
      </c>
      <c r="H54" s="135">
        <v>0</v>
      </c>
      <c r="I54" s="100">
        <f>'表3-2｜期出預算附屬表'!G144</f>
        <v>3000</v>
      </c>
      <c r="J54" s="39">
        <f>'表3-2｜期出預算附屬表'!H144</f>
        <v>7.4257425742574254E-2</v>
      </c>
      <c r="K54" s="90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</row>
    <row r="55" spans="1:30" ht="48">
      <c r="A55" s="73"/>
      <c r="B55" s="86"/>
      <c r="C55" s="73"/>
      <c r="D55" s="86" t="s">
        <v>49</v>
      </c>
      <c r="E55" s="80"/>
      <c r="F55" s="98" t="s">
        <v>70</v>
      </c>
      <c r="G55" s="44">
        <v>0</v>
      </c>
      <c r="H55" s="135">
        <v>0</v>
      </c>
      <c r="I55" s="100">
        <f>'表3-2｜期出預算附屬表'!G146</f>
        <v>5400</v>
      </c>
      <c r="J55" s="39">
        <f>'表3-2｜期出預算附屬表'!H146</f>
        <v>0.13366336633663367</v>
      </c>
      <c r="K55" s="114" t="str">
        <f t="shared" ref="K55:K58" si="2">"會費支出："&amp;(I55-G55)</f>
        <v>會費支出：5400</v>
      </c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</row>
    <row r="56" spans="1:30" ht="16">
      <c r="A56" s="73"/>
      <c r="B56" s="86"/>
      <c r="C56" s="73"/>
      <c r="D56" s="86" t="s">
        <v>53</v>
      </c>
      <c r="E56" s="80"/>
      <c r="F56" s="98" t="s">
        <v>71</v>
      </c>
      <c r="G56" s="44">
        <v>0</v>
      </c>
      <c r="H56" s="135">
        <v>0</v>
      </c>
      <c r="I56" s="100">
        <f>'表3-2｜期出預算附屬表'!G152</f>
        <v>6100</v>
      </c>
      <c r="J56" s="39">
        <f>'表3-2｜期出預算附屬表'!H152</f>
        <v>0.15099009900990099</v>
      </c>
      <c r="K56" s="114" t="str">
        <f t="shared" si="2"/>
        <v>會費支出：6100</v>
      </c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</row>
    <row r="57" spans="1:30" ht="32">
      <c r="A57" s="73"/>
      <c r="B57" s="86"/>
      <c r="C57" s="73"/>
      <c r="D57" s="86" t="s">
        <v>54</v>
      </c>
      <c r="E57" s="80"/>
      <c r="F57" s="98" t="s">
        <v>72</v>
      </c>
      <c r="G57" s="44">
        <v>0</v>
      </c>
      <c r="H57" s="135">
        <v>0</v>
      </c>
      <c r="I57" s="100">
        <f>'表3-2｜期出預算附屬表'!G157</f>
        <v>5600</v>
      </c>
      <c r="J57" s="39">
        <f>'表3-2｜期出預算附屬表'!H157</f>
        <v>0.13861386138613863</v>
      </c>
      <c r="K57" s="114" t="str">
        <f t="shared" si="2"/>
        <v>會費支出：5600</v>
      </c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</row>
    <row r="58" spans="1:30" ht="16">
      <c r="A58" s="73"/>
      <c r="B58" s="86"/>
      <c r="C58" s="73"/>
      <c r="D58" s="86" t="s">
        <v>56</v>
      </c>
      <c r="E58" s="80"/>
      <c r="F58" s="98" t="s">
        <v>73</v>
      </c>
      <c r="G58" s="44">
        <v>0</v>
      </c>
      <c r="H58" s="135">
        <v>0</v>
      </c>
      <c r="I58" s="100">
        <f>'表3-2｜期出預算附屬表'!G161</f>
        <v>20300</v>
      </c>
      <c r="J58" s="39">
        <f>'表3-2｜期出預算附屬表'!H161</f>
        <v>0.50247524752475248</v>
      </c>
      <c r="K58" s="114" t="str">
        <f t="shared" si="2"/>
        <v>會費支出：20300</v>
      </c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</row>
    <row r="59" spans="1:30" ht="16">
      <c r="A59" s="73"/>
      <c r="B59" s="86"/>
      <c r="C59" s="73" t="s">
        <v>51</v>
      </c>
      <c r="D59" s="86" t="s">
        <v>51</v>
      </c>
      <c r="E59" s="80"/>
      <c r="F59" s="98" t="s">
        <v>52</v>
      </c>
      <c r="G59" s="44">
        <v>0</v>
      </c>
      <c r="H59" s="135">
        <v>0</v>
      </c>
      <c r="I59" s="100">
        <f>'表3-2｜期出預算附屬表'!G167</f>
        <v>8016</v>
      </c>
      <c r="J59" s="39">
        <f>'表3-2｜期出預算附屬表'!H167</f>
        <v>5.0001247536116171E-2</v>
      </c>
      <c r="K59" s="90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</row>
    <row r="60" spans="1:30" ht="16">
      <c r="A60" s="73"/>
      <c r="B60" s="86"/>
      <c r="C60" s="73"/>
      <c r="D60" s="86"/>
      <c r="E60" s="80"/>
      <c r="F60" s="98"/>
      <c r="G60" s="44"/>
      <c r="H60" s="135"/>
      <c r="I60" s="100"/>
      <c r="J60" s="34"/>
      <c r="K60" s="90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</row>
    <row r="61" spans="1:30" ht="16">
      <c r="A61" s="103"/>
      <c r="B61" s="102" t="s">
        <v>62</v>
      </c>
      <c r="C61" s="103" t="s">
        <v>47</v>
      </c>
      <c r="D61" s="102" t="s">
        <v>47</v>
      </c>
      <c r="E61" s="104"/>
      <c r="F61" s="105" t="s">
        <v>22</v>
      </c>
      <c r="G61" s="118">
        <f>'表3-1｜期入預算附屬表'!G71</f>
        <v>160000</v>
      </c>
      <c r="H61" s="106">
        <f>'表3-1｜期入預算附屬表'!H71</f>
        <v>6.1735611840427335E-2</v>
      </c>
      <c r="I61" s="107">
        <f>'表3-2｜期出預算附屬表'!G171</f>
        <v>252806</v>
      </c>
      <c r="J61" s="60">
        <f>'表3-2｜期出預算附屬表'!H171</f>
        <v>0.16152867768819046</v>
      </c>
      <c r="K61" s="109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</row>
    <row r="62" spans="1:30" ht="16">
      <c r="A62" s="73"/>
      <c r="B62" s="86"/>
      <c r="C62" s="73"/>
      <c r="D62" s="86"/>
      <c r="E62" s="80"/>
      <c r="F62" s="98"/>
      <c r="G62" s="44"/>
      <c r="H62" s="99"/>
      <c r="I62" s="100"/>
      <c r="J62" s="34"/>
      <c r="K62" s="90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</row>
    <row r="63" spans="1:30" ht="32">
      <c r="A63" s="73"/>
      <c r="B63" s="86"/>
      <c r="C63" s="73" t="s">
        <v>47</v>
      </c>
      <c r="D63" s="86" t="s">
        <v>49</v>
      </c>
      <c r="E63" s="80"/>
      <c r="F63" s="98" t="s">
        <v>76</v>
      </c>
      <c r="G63" s="44">
        <v>0</v>
      </c>
      <c r="H63" s="135">
        <v>0</v>
      </c>
      <c r="I63" s="100">
        <f>'表3-2｜期出預算附屬表'!G172</f>
        <v>3000</v>
      </c>
      <c r="J63" s="39">
        <f>'表3-2｜期出預算附屬表'!H172</f>
        <v>1.1866806958695601E-2</v>
      </c>
      <c r="K63" s="114" t="str">
        <f t="shared" ref="K63:K66" si="3">"會費支出："&amp;(I63-G63)</f>
        <v>會費支出：3000</v>
      </c>
      <c r="L63" s="98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</row>
    <row r="64" spans="1:30" ht="32">
      <c r="A64" s="73"/>
      <c r="B64" s="86"/>
      <c r="C64" s="73"/>
      <c r="D64" s="86" t="s">
        <v>53</v>
      </c>
      <c r="E64" s="80"/>
      <c r="F64" s="98" t="s">
        <v>74</v>
      </c>
      <c r="G64" s="44">
        <f>'表3-1｜期入預算附屬表'!G75</f>
        <v>160000</v>
      </c>
      <c r="H64" s="135">
        <f>'表3-1｜期入預算附屬表'!H75</f>
        <v>1</v>
      </c>
      <c r="I64" s="100">
        <f>'表3-2｜期出預算附屬表'!G175</f>
        <v>73958</v>
      </c>
      <c r="J64" s="39">
        <f>'表3-2｜期出預算附屬表'!H175</f>
        <v>0.29254843635040306</v>
      </c>
      <c r="K64" s="114" t="str">
        <f t="shared" si="3"/>
        <v>會費支出：-86042</v>
      </c>
      <c r="L64" s="98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</row>
    <row r="65" spans="1:30" ht="32">
      <c r="A65" s="73"/>
      <c r="B65" s="86"/>
      <c r="C65" s="73"/>
      <c r="D65" s="86" t="s">
        <v>54</v>
      </c>
      <c r="E65" s="80"/>
      <c r="F65" s="98" t="s">
        <v>75</v>
      </c>
      <c r="G65" s="44">
        <v>0</v>
      </c>
      <c r="H65" s="135">
        <v>0</v>
      </c>
      <c r="I65" s="100">
        <f>'表3-2｜期出預算附屬表'!G185</f>
        <v>116008</v>
      </c>
      <c r="J65" s="39">
        <f>'表3-2｜期出預算附屬表'!H185</f>
        <v>0.45888151388811976</v>
      </c>
      <c r="K65" s="114" t="str">
        <f t="shared" si="3"/>
        <v>會費支出：116008</v>
      </c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</row>
    <row r="66" spans="1:30" ht="32">
      <c r="A66" s="73"/>
      <c r="B66" s="86"/>
      <c r="C66" s="73"/>
      <c r="D66" s="86" t="s">
        <v>56</v>
      </c>
      <c r="E66" s="80"/>
      <c r="F66" s="98" t="s">
        <v>77</v>
      </c>
      <c r="G66" s="44">
        <v>0</v>
      </c>
      <c r="H66" s="135">
        <v>0</v>
      </c>
      <c r="I66" s="100">
        <f>'表3-2｜期出預算附屬表'!G197</f>
        <v>47200</v>
      </c>
      <c r="J66" s="39">
        <f>'表3-2｜期出預算附屬表'!H197</f>
        <v>0.18670442948347746</v>
      </c>
      <c r="K66" s="114" t="str">
        <f t="shared" si="3"/>
        <v>會費支出：47200</v>
      </c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</row>
    <row r="67" spans="1:30" ht="16">
      <c r="A67" s="73"/>
      <c r="B67" s="86"/>
      <c r="C67" s="73"/>
      <c r="D67" s="86"/>
      <c r="E67" s="80"/>
      <c r="F67" s="98"/>
      <c r="G67" s="44"/>
      <c r="H67" s="135"/>
      <c r="I67" s="100"/>
      <c r="J67" s="34"/>
      <c r="K67" s="11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</row>
    <row r="68" spans="1:30" ht="16">
      <c r="A68" s="73"/>
      <c r="B68" s="86"/>
      <c r="C68" s="73" t="s">
        <v>51</v>
      </c>
      <c r="D68" s="86" t="s">
        <v>51</v>
      </c>
      <c r="E68" s="80"/>
      <c r="F68" s="98" t="s">
        <v>52</v>
      </c>
      <c r="G68" s="44">
        <v>0</v>
      </c>
      <c r="H68" s="135">
        <v>0</v>
      </c>
      <c r="I68" s="100">
        <f>'表3-2｜期出預算附屬表'!G207</f>
        <v>12640</v>
      </c>
      <c r="J68" s="39">
        <f>'表3-2｜期出預算附屬表'!H207</f>
        <v>4.9998813319304128E-2</v>
      </c>
      <c r="K68" s="11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</row>
    <row r="69" spans="1:30" ht="16">
      <c r="A69" s="73"/>
      <c r="B69" s="86"/>
      <c r="C69" s="73"/>
      <c r="D69" s="86"/>
      <c r="E69" s="80"/>
      <c r="F69" s="98"/>
      <c r="G69" s="44"/>
      <c r="H69" s="135"/>
      <c r="I69" s="100"/>
      <c r="J69" s="34"/>
      <c r="K69" s="90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</row>
    <row r="70" spans="1:30" ht="16">
      <c r="A70" s="103"/>
      <c r="B70" s="102" t="s">
        <v>78</v>
      </c>
      <c r="C70" s="103" t="s">
        <v>47</v>
      </c>
      <c r="D70" s="102" t="s">
        <v>47</v>
      </c>
      <c r="E70" s="104"/>
      <c r="F70" s="105" t="s">
        <v>23</v>
      </c>
      <c r="G70" s="118">
        <v>0</v>
      </c>
      <c r="H70" s="138">
        <v>0</v>
      </c>
      <c r="I70" s="107">
        <f>'表3-2｜期出預算附屬表'!G211</f>
        <v>36316</v>
      </c>
      <c r="J70" s="139">
        <f>'表3-2｜期出預算附屬表'!H211</f>
        <v>2.3203861692065557E-2</v>
      </c>
      <c r="K70" s="109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</row>
    <row r="71" spans="1:30" ht="16">
      <c r="A71" s="73"/>
      <c r="B71" s="86"/>
      <c r="C71" s="73"/>
      <c r="D71" s="86"/>
      <c r="E71" s="80"/>
      <c r="F71" s="98"/>
      <c r="G71" s="44"/>
      <c r="H71" s="99"/>
      <c r="I71" s="100"/>
      <c r="J71" s="34"/>
      <c r="K71" s="90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</row>
    <row r="72" spans="1:30" ht="16">
      <c r="A72" s="73"/>
      <c r="B72" s="86"/>
      <c r="C72" s="73" t="s">
        <v>47</v>
      </c>
      <c r="D72" s="86" t="s">
        <v>46</v>
      </c>
      <c r="E72" s="80"/>
      <c r="F72" s="98" t="s">
        <v>48</v>
      </c>
      <c r="G72" s="44">
        <v>0</v>
      </c>
      <c r="H72" s="5">
        <v>0</v>
      </c>
      <c r="I72" s="100">
        <f>'表3-2｜期出預算附屬表'!G212</f>
        <v>21000</v>
      </c>
      <c r="J72" s="39">
        <f>'表3-2｜期出預算附屬表'!H212</f>
        <v>0.57825751734772557</v>
      </c>
      <c r="K72" s="90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</row>
    <row r="73" spans="1:30" ht="16">
      <c r="A73" s="73"/>
      <c r="B73" s="86"/>
      <c r="C73" s="73"/>
      <c r="D73" s="86" t="s">
        <v>49</v>
      </c>
      <c r="E73" s="80"/>
      <c r="F73" s="98" t="str">
        <f>'表3-2｜期出預算附屬表'!F216</f>
        <v>社群觸及關注提升作業</v>
      </c>
      <c r="G73" s="44">
        <v>0</v>
      </c>
      <c r="H73" s="5">
        <v>0</v>
      </c>
      <c r="I73" s="100">
        <f>'表3-2｜期出預算附屬表'!G216</f>
        <v>13500</v>
      </c>
      <c r="J73" s="39">
        <f>'表3-2｜期出預算附屬表'!H216</f>
        <v>0.37173697543782352</v>
      </c>
      <c r="K73" s="114" t="str">
        <f t="shared" ref="K73" si="4">"會費支出："&amp;(I73-G73)</f>
        <v>會費支出：13500</v>
      </c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</row>
    <row r="74" spans="1:30" ht="16">
      <c r="A74" s="73"/>
      <c r="B74" s="86"/>
      <c r="C74" s="73" t="s">
        <v>51</v>
      </c>
      <c r="D74" s="86" t="s">
        <v>51</v>
      </c>
      <c r="E74" s="80"/>
      <c r="F74" s="98" t="s">
        <v>52</v>
      </c>
      <c r="G74" s="44">
        <v>0</v>
      </c>
      <c r="H74" s="5">
        <v>0</v>
      </c>
      <c r="I74" s="100">
        <f>'表3-2｜期出預算附屬表'!G221</f>
        <v>1816</v>
      </c>
      <c r="J74" s="41">
        <f>'表3-2｜期出預算附屬表'!H221</f>
        <v>5.0005507214450934E-2</v>
      </c>
      <c r="K74" s="90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</row>
    <row r="75" spans="1:30" ht="16">
      <c r="A75" s="73"/>
      <c r="B75" s="86"/>
      <c r="C75" s="73"/>
      <c r="D75" s="86"/>
      <c r="E75" s="80"/>
      <c r="F75" s="98"/>
      <c r="G75" s="44"/>
      <c r="H75" s="99"/>
      <c r="I75" s="100"/>
      <c r="J75" s="34"/>
      <c r="K75" s="90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</row>
    <row r="76" spans="1:30" ht="16">
      <c r="A76" s="103"/>
      <c r="B76" s="102" t="s">
        <v>79</v>
      </c>
      <c r="C76" s="103" t="s">
        <v>47</v>
      </c>
      <c r="D76" s="102" t="s">
        <v>47</v>
      </c>
      <c r="E76" s="104"/>
      <c r="F76" s="105" t="s">
        <v>24</v>
      </c>
      <c r="G76" s="118">
        <f>'表3-1｜期入預算附屬表'!G96</f>
        <v>50000</v>
      </c>
      <c r="H76" s="138">
        <f>G76/G7</f>
        <v>1.929237870013354E-2</v>
      </c>
      <c r="I76" s="107">
        <f>'表3-2｜期出預算附屬表'!G225</f>
        <v>409202</v>
      </c>
      <c r="J76" s="106">
        <f>'表3-2｜期出預算附屬表'!H225</f>
        <v>0.26145684029399191</v>
      </c>
      <c r="K76" s="109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</row>
    <row r="77" spans="1:30" ht="16">
      <c r="A77" s="73"/>
      <c r="B77" s="86"/>
      <c r="C77" s="73"/>
      <c r="D77" s="86"/>
      <c r="E77" s="80"/>
      <c r="F77" s="98"/>
      <c r="G77" s="44"/>
      <c r="H77" s="99"/>
      <c r="I77" s="100"/>
      <c r="J77" s="34"/>
      <c r="K77" s="90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</row>
    <row r="78" spans="1:30" ht="16">
      <c r="A78" s="73"/>
      <c r="B78" s="86"/>
      <c r="C78" s="73" t="s">
        <v>47</v>
      </c>
      <c r="D78" s="86" t="s">
        <v>46</v>
      </c>
      <c r="E78" s="80"/>
      <c r="F78" s="98" t="str">
        <f>'表3-2｜期出預算附屬表'!F226</f>
        <v>一般行政計畫</v>
      </c>
      <c r="G78" s="44">
        <f>'表3-1｜期入預算附屬表'!G97</f>
        <v>10000</v>
      </c>
      <c r="H78" s="5">
        <f>'表3-1｜期入預算附屬表'!H97</f>
        <v>0.2</v>
      </c>
      <c r="I78" s="100">
        <f>'表3-2｜期出預算附屬表'!G226</f>
        <v>44900</v>
      </c>
      <c r="J78" s="39">
        <f>'表3-2｜期出預算附屬表'!H226</f>
        <v>0.10972575891613433</v>
      </c>
      <c r="K78" s="90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</row>
    <row r="79" spans="1:30" ht="16">
      <c r="A79" s="73"/>
      <c r="B79" s="86"/>
      <c r="C79" s="73"/>
      <c r="D79" s="86" t="s">
        <v>49</v>
      </c>
      <c r="E79" s="80"/>
      <c r="F79" s="98" t="str">
        <f>'表3-2｜期出預算附屬表'!F241</f>
        <v>選務行政計畫</v>
      </c>
      <c r="G79" s="44">
        <f>'表3-1｜期入預算附屬表'!G99</f>
        <v>40000</v>
      </c>
      <c r="H79" s="5">
        <f>'表3-1｜期入預算附屬表'!H99</f>
        <v>0.8</v>
      </c>
      <c r="I79" s="100">
        <f>'表3-2｜期出預算附屬表'!G241</f>
        <v>315842</v>
      </c>
      <c r="J79" s="39">
        <f>'表3-2｜期出預算附屬表'!H241</f>
        <v>0.77184862244075059</v>
      </c>
      <c r="K79" s="11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</row>
    <row r="80" spans="1:30" ht="16">
      <c r="A80" s="73"/>
      <c r="B80" s="86"/>
      <c r="C80" s="73"/>
      <c r="D80" s="86" t="s">
        <v>53</v>
      </c>
      <c r="E80" s="80"/>
      <c r="F80" s="98" t="str">
        <f>'表3-2｜期出預算附屬表'!F262</f>
        <v>選舉身份查驗電子化計畫</v>
      </c>
      <c r="G80" s="44">
        <v>0</v>
      </c>
      <c r="H80" s="5">
        <v>0</v>
      </c>
      <c r="I80" s="100">
        <f>'表3-2｜期出預算附屬表'!G262</f>
        <v>28000</v>
      </c>
      <c r="J80" s="39">
        <f>'表3-2｜期出預算附屬表'!H262</f>
        <v>6.8425863021197353E-2</v>
      </c>
      <c r="K80" s="114" t="str">
        <f>"會費支出："&amp;(I80-G80)</f>
        <v>會費支出：28000</v>
      </c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</row>
    <row r="81" spans="1:30" ht="16">
      <c r="A81" s="73"/>
      <c r="B81" s="86"/>
      <c r="C81" s="73" t="s">
        <v>51</v>
      </c>
      <c r="D81" s="86" t="s">
        <v>51</v>
      </c>
      <c r="E81" s="80"/>
      <c r="F81" s="98" t="s">
        <v>52</v>
      </c>
      <c r="G81" s="44">
        <v>0</v>
      </c>
      <c r="H81" s="5">
        <v>0</v>
      </c>
      <c r="I81" s="100">
        <f>'表3-2｜期出預算附屬表'!G265</f>
        <v>20460</v>
      </c>
      <c r="J81" s="41">
        <f>'表3-2｜期出預算附屬表'!H265</f>
        <v>4.9999755621917781E-2</v>
      </c>
      <c r="K81" s="90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</row>
    <row r="82" spans="1:30" ht="16">
      <c r="A82" s="73"/>
      <c r="B82" s="86"/>
      <c r="C82" s="73"/>
      <c r="D82" s="86"/>
      <c r="E82" s="80"/>
      <c r="F82" s="98"/>
      <c r="G82" s="44"/>
      <c r="H82" s="99"/>
      <c r="I82" s="100"/>
      <c r="J82" s="34"/>
      <c r="K82" s="90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</row>
    <row r="83" spans="1:30" ht="16">
      <c r="A83" s="103"/>
      <c r="B83" s="102" t="s">
        <v>51</v>
      </c>
      <c r="C83" s="103" t="s">
        <v>47</v>
      </c>
      <c r="D83" s="102" t="s">
        <v>47</v>
      </c>
      <c r="E83" s="104"/>
      <c r="F83" s="105" t="s">
        <v>25</v>
      </c>
      <c r="G83" s="118">
        <f>'表3-1｜期入預算附屬表'!G104</f>
        <v>66200</v>
      </c>
      <c r="H83" s="106">
        <f>'表3-1｜期入預算附屬表'!H104</f>
        <v>2.5543109398976808E-2</v>
      </c>
      <c r="I83" s="107">
        <f>'表3-2｜期出預算附屬表'!G269</f>
        <v>110474</v>
      </c>
      <c r="J83" s="106">
        <f>'表3-2｜期出預算附屬表'!H269</f>
        <v>7.0586612417921857E-2</v>
      </c>
      <c r="K83" s="109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</row>
    <row r="84" spans="1:30" ht="16">
      <c r="A84" s="73"/>
      <c r="B84" s="86"/>
      <c r="C84" s="86"/>
      <c r="D84" s="80"/>
      <c r="E84" s="140"/>
      <c r="F84" s="98"/>
      <c r="G84" s="44"/>
      <c r="H84" s="99"/>
      <c r="I84" s="100"/>
      <c r="J84" s="34"/>
      <c r="K84" s="90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</row>
    <row r="85" spans="1:30" ht="16">
      <c r="A85" s="73"/>
      <c r="B85" s="86"/>
      <c r="C85" s="73" t="s">
        <v>47</v>
      </c>
      <c r="D85" s="86" t="s">
        <v>46</v>
      </c>
      <c r="E85" s="80"/>
      <c r="F85" s="98" t="str">
        <f>'表3-2｜期出預算附屬表'!F270</f>
        <v>一般行政計畫</v>
      </c>
      <c r="G85" s="44">
        <f>'表3-1｜期入預算附屬表'!G105</f>
        <v>0</v>
      </c>
      <c r="H85" s="135">
        <f>'表3-1｜期入預算附屬表'!H105</f>
        <v>0</v>
      </c>
      <c r="I85" s="100">
        <f>'表3-2｜期出預算附屬表'!G270</f>
        <v>38750</v>
      </c>
      <c r="J85" s="39">
        <f>'表3-2｜期出預算附屬表'!H270</f>
        <v>0.35076126509404926</v>
      </c>
      <c r="K85" s="90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</row>
    <row r="86" spans="1:30" ht="16">
      <c r="A86" s="123"/>
      <c r="B86" s="124"/>
      <c r="C86" s="125" t="s">
        <v>46</v>
      </c>
      <c r="D86" s="125" t="s">
        <v>47</v>
      </c>
      <c r="E86" s="141"/>
      <c r="F86" s="142" t="s">
        <v>80</v>
      </c>
      <c r="G86" s="127">
        <f>'表3-1｜期入預算附屬表'!G107</f>
        <v>36900</v>
      </c>
      <c r="H86" s="136">
        <f>'表3-1｜期入預算附屬表'!H107</f>
        <v>0.55740181268882172</v>
      </c>
      <c r="I86" s="129">
        <f>'表3-2｜期出預算附屬表'!G274</f>
        <v>36900</v>
      </c>
      <c r="J86" s="130">
        <f>'表3-2｜期出預算附屬表'!H274</f>
        <v>0.33401524340568822</v>
      </c>
      <c r="K86" s="131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132"/>
      <c r="AA86" s="132"/>
      <c r="AB86" s="132"/>
      <c r="AC86" s="132"/>
      <c r="AD86" s="132"/>
    </row>
    <row r="87" spans="1:30" ht="16">
      <c r="A87" s="73"/>
      <c r="B87" s="86"/>
      <c r="C87" s="73"/>
      <c r="D87" s="86" t="s">
        <v>46</v>
      </c>
      <c r="E87" s="80"/>
      <c r="F87" s="98" t="s">
        <v>81</v>
      </c>
      <c r="G87" s="44">
        <f>'表3-1｜期入預算附屬表'!G108</f>
        <v>29200</v>
      </c>
      <c r="H87" s="5">
        <f>'表3-1｜期入預算附屬表'!H108</f>
        <v>0.79132791327913277</v>
      </c>
      <c r="I87" s="100">
        <f>'表3-2｜期出預算附屬表'!G275</f>
        <v>29200</v>
      </c>
      <c r="J87" s="39">
        <f>'表3-2｜期出預算附屬表'!H275</f>
        <v>0.79132791327913277</v>
      </c>
      <c r="K87" s="90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</row>
    <row r="88" spans="1:30" ht="32">
      <c r="A88" s="73"/>
      <c r="B88" s="86"/>
      <c r="C88" s="73"/>
      <c r="D88" s="86" t="s">
        <v>454</v>
      </c>
      <c r="E88" s="80"/>
      <c r="F88" s="98" t="s">
        <v>348</v>
      </c>
      <c r="G88" s="44">
        <f>'表3-1｜期入預算附屬表'!G109</f>
        <v>7700</v>
      </c>
      <c r="H88" s="5">
        <f>'表3-1｜期入預算附屬表'!H109</f>
        <v>0.20867208672086721</v>
      </c>
      <c r="I88" s="100">
        <f>'表3-2｜期出預算附屬表'!G282</f>
        <v>7700</v>
      </c>
      <c r="J88" s="39">
        <f>'表3-2｜期出預算附屬表'!H282</f>
        <v>0.20867208672086721</v>
      </c>
      <c r="K88" s="90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</row>
    <row r="89" spans="1:30" ht="16">
      <c r="A89" s="123"/>
      <c r="B89" s="124"/>
      <c r="C89" s="143" t="s">
        <v>49</v>
      </c>
      <c r="D89" s="143" t="s">
        <v>47</v>
      </c>
      <c r="E89" s="144"/>
      <c r="F89" s="145" t="s">
        <v>82</v>
      </c>
      <c r="G89" s="127">
        <f>'表3-1｜期入預算附屬表'!G111</f>
        <v>29300</v>
      </c>
      <c r="H89" s="136">
        <f>'表3-1｜期入預算附屬表'!H111</f>
        <v>0.44259818731117823</v>
      </c>
      <c r="I89" s="129">
        <f>'表3-2｜期出預算附屬表'!G288</f>
        <v>29300</v>
      </c>
      <c r="J89" s="130">
        <f>'表3-2｜期出預算附屬表'!H288</f>
        <v>0.26522077592917792</v>
      </c>
      <c r="K89" s="131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  <c r="AA89" s="132"/>
      <c r="AB89" s="132"/>
      <c r="AC89" s="132"/>
      <c r="AD89" s="132"/>
    </row>
    <row r="90" spans="1:30" ht="16">
      <c r="A90" s="73"/>
      <c r="B90" s="86"/>
      <c r="C90" s="73"/>
      <c r="D90" s="86" t="s">
        <v>46</v>
      </c>
      <c r="E90" s="80"/>
      <c r="F90" s="98" t="s">
        <v>83</v>
      </c>
      <c r="G90" s="44">
        <f>'表3-1｜期入預算附屬表'!G112</f>
        <v>7300</v>
      </c>
      <c r="H90" s="5">
        <f>'表3-1｜期入預算附屬表'!H112</f>
        <v>0.24914675767918087</v>
      </c>
      <c r="I90" s="100">
        <f>'表3-2｜期出預算附屬表'!G289</f>
        <v>7300</v>
      </c>
      <c r="J90" s="39">
        <f>'表3-2｜期出預算附屬表'!H289</f>
        <v>0.24914675767918087</v>
      </c>
      <c r="K90" s="90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</row>
    <row r="91" spans="1:30" ht="16">
      <c r="A91" s="73"/>
      <c r="B91" s="86"/>
      <c r="C91" s="73"/>
      <c r="D91" s="86" t="s">
        <v>49</v>
      </c>
      <c r="E91" s="80"/>
      <c r="F91" s="98" t="s">
        <v>84</v>
      </c>
      <c r="G91" s="44">
        <f>'表3-1｜期入預算附屬表'!G113</f>
        <v>8800</v>
      </c>
      <c r="H91" s="5">
        <f>'表3-1｜期入預算附屬表'!H113</f>
        <v>0.30034129692832767</v>
      </c>
      <c r="I91" s="100">
        <f>'表3-2｜期出預算附屬表'!G296</f>
        <v>8800</v>
      </c>
      <c r="J91" s="39">
        <f>'表3-2｜期出預算附屬表'!H296</f>
        <v>0.30034129692832767</v>
      </c>
      <c r="K91" s="90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</row>
    <row r="92" spans="1:30" ht="16">
      <c r="A92" s="73"/>
      <c r="B92" s="86"/>
      <c r="C92" s="73"/>
      <c r="D92" s="505" t="s">
        <v>455</v>
      </c>
      <c r="E92" s="80"/>
      <c r="F92" s="400" t="s">
        <v>364</v>
      </c>
      <c r="G92" s="44">
        <f>'表3-1｜期入預算附屬表'!G114</f>
        <v>13200</v>
      </c>
      <c r="H92" s="5">
        <f>'表3-1｜期入預算附屬表'!H114</f>
        <v>0.45051194539249145</v>
      </c>
      <c r="I92" s="100">
        <f>'表3-2｜期出預算附屬表'!G304</f>
        <v>13200</v>
      </c>
      <c r="J92" s="39">
        <f>'表3-2｜期出預算附屬表'!H304</f>
        <v>0.45051194539249145</v>
      </c>
      <c r="K92" s="90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</row>
    <row r="93" spans="1:30" ht="16">
      <c r="A93" s="73"/>
      <c r="B93" s="86"/>
      <c r="C93" s="73" t="s">
        <v>51</v>
      </c>
      <c r="D93" s="86" t="s">
        <v>51</v>
      </c>
      <c r="E93" s="80"/>
      <c r="F93" s="98" t="s">
        <v>52</v>
      </c>
      <c r="G93" s="44">
        <f>'表3-1｜期入預算附屬表'!G115</f>
        <v>0</v>
      </c>
      <c r="H93" s="5">
        <f>'表3-1｜期入預算附屬表'!H115</f>
        <v>0</v>
      </c>
      <c r="I93" s="100">
        <f>'表3-2｜期出預算附屬表'!G317</f>
        <v>5524</v>
      </c>
      <c r="J93" s="39">
        <f>'表3-2｜期出預算附屬表'!H317</f>
        <v>5.0002715571084599E-2</v>
      </c>
      <c r="K93" s="90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</row>
    <row r="94" spans="1:30" ht="16">
      <c r="A94" s="73"/>
      <c r="B94" s="86"/>
      <c r="C94" s="73"/>
      <c r="D94" s="86"/>
      <c r="E94" s="80"/>
      <c r="F94" s="98"/>
      <c r="G94" s="44"/>
      <c r="H94" s="5"/>
      <c r="I94" s="100"/>
      <c r="J94" s="39"/>
      <c r="K94" s="90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</row>
    <row r="95" spans="1:30" ht="16">
      <c r="A95" s="103"/>
      <c r="B95" s="102" t="s">
        <v>26</v>
      </c>
      <c r="C95" s="103" t="s">
        <v>47</v>
      </c>
      <c r="D95" s="102" t="s">
        <v>47</v>
      </c>
      <c r="E95" s="104"/>
      <c r="F95" s="105" t="s">
        <v>27</v>
      </c>
      <c r="G95" s="118">
        <f>'表3-1｜期入預算附屬表'!G118</f>
        <v>0</v>
      </c>
      <c r="H95" s="106">
        <v>0</v>
      </c>
      <c r="I95" s="118">
        <f>'表3-2｜期出預算附屬表'!G321</f>
        <v>88337</v>
      </c>
      <c r="J95" s="108">
        <f>'表3-2｜期出預算附屬表'!H321</f>
        <v>5.6442326530785188E-2</v>
      </c>
      <c r="K95" s="109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</row>
    <row r="96" spans="1:30" ht="16">
      <c r="A96" s="73"/>
      <c r="B96" s="86"/>
      <c r="C96" s="80"/>
      <c r="D96" s="80"/>
      <c r="E96" s="140"/>
      <c r="F96" s="98"/>
      <c r="G96" s="44"/>
      <c r="H96" s="99"/>
      <c r="I96" s="100"/>
      <c r="J96" s="34"/>
      <c r="K96" s="90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</row>
    <row r="97" spans="1:30" ht="16">
      <c r="A97" s="73"/>
      <c r="B97" s="86"/>
      <c r="C97" s="146" t="s">
        <v>47</v>
      </c>
      <c r="D97" s="146" t="s">
        <v>46</v>
      </c>
      <c r="E97" s="147"/>
      <c r="F97" s="148" t="s">
        <v>48</v>
      </c>
      <c r="G97" s="44">
        <v>0</v>
      </c>
      <c r="H97" s="5">
        <v>0</v>
      </c>
      <c r="I97" s="100">
        <f>'表3-2｜期出預算附屬表'!G322</f>
        <v>52200</v>
      </c>
      <c r="J97" s="39">
        <f>'表3-2｜期出預算附屬表'!H322</f>
        <v>0.59091886751870681</v>
      </c>
      <c r="K97" s="37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</row>
    <row r="98" spans="1:30" ht="31.5">
      <c r="A98" s="73"/>
      <c r="B98" s="86"/>
      <c r="C98" s="146" t="s">
        <v>47</v>
      </c>
      <c r="D98" s="146" t="s">
        <v>49</v>
      </c>
      <c r="E98" s="147"/>
      <c r="F98" s="148" t="s">
        <v>85</v>
      </c>
      <c r="G98" s="44">
        <v>0</v>
      </c>
      <c r="H98" s="5">
        <v>0</v>
      </c>
      <c r="I98" s="100">
        <f>'表3-2｜期出預算附屬表'!G324</f>
        <v>5200</v>
      </c>
      <c r="J98" s="39">
        <f>'表3-2｜期出預算附屬表'!H324</f>
        <v>5.8865481055503356E-2</v>
      </c>
      <c r="K98" s="114" t="str">
        <f t="shared" ref="K98:K101" si="5">"會費支出："&amp;(I98-G98)</f>
        <v>會費支出：5200</v>
      </c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</row>
    <row r="99" spans="1:30" ht="31.5">
      <c r="A99" s="73"/>
      <c r="B99" s="86"/>
      <c r="C99" s="149"/>
      <c r="D99" s="150" t="s">
        <v>53</v>
      </c>
      <c r="E99" s="147"/>
      <c r="F99" s="151" t="str">
        <f>'表3-2｜期出預算附屬表'!F328</f>
        <v>校內新資訊系統開發流程規範追蹤計畫</v>
      </c>
      <c r="G99" s="44">
        <f>'表3-1｜期入預算附屬表'!G122</f>
        <v>0</v>
      </c>
      <c r="H99" s="5">
        <f>'表3-1｜期入預算附屬表'!H122</f>
        <v>0</v>
      </c>
      <c r="I99" s="100">
        <f>'表3-2｜期出預算附屬表'!G328</f>
        <v>4800</v>
      </c>
      <c r="J99" s="39">
        <f>'表3-2｜期出預算附屬表'!H328</f>
        <v>5.4337367128156948E-2</v>
      </c>
      <c r="K99" s="114" t="str">
        <f t="shared" si="5"/>
        <v>會費支出：4800</v>
      </c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</row>
    <row r="100" spans="1:30" ht="31.5">
      <c r="A100" s="73"/>
      <c r="B100" s="86"/>
      <c r="C100" s="149"/>
      <c r="D100" s="150" t="s">
        <v>54</v>
      </c>
      <c r="E100" s="147"/>
      <c r="F100" s="151" t="str">
        <f>'表3-2｜期出預算附屬表'!F332</f>
        <v>校內資訊安全與隱私權議題探討及改善倡議計畫</v>
      </c>
      <c r="G100" s="44">
        <f>'表3-1｜期入預算附屬表'!G123</f>
        <v>0</v>
      </c>
      <c r="H100" s="5">
        <f>'表3-1｜期入預算附屬表'!H123</f>
        <v>0</v>
      </c>
      <c r="I100" s="100">
        <f>'表3-2｜期出預算附屬表'!G332</f>
        <v>6400</v>
      </c>
      <c r="J100" s="39">
        <f>'表3-2｜期出預算附屬表'!H332</f>
        <v>7.2449822837542588E-2</v>
      </c>
      <c r="K100" s="114" t="str">
        <f t="shared" si="5"/>
        <v>會費支出：6400</v>
      </c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</row>
    <row r="101" spans="1:30" ht="31.5">
      <c r="A101" s="73"/>
      <c r="B101" s="86"/>
      <c r="C101" s="149"/>
      <c r="D101" s="150" t="s">
        <v>56</v>
      </c>
      <c r="E101" s="147"/>
      <c r="F101" s="151" t="str">
        <f>'表3-2｜期出預算附屬表'!F336</f>
        <v>陳情案件處理及資訊相關突發事件追蹤</v>
      </c>
      <c r="G101" s="44">
        <f>'表3-1｜期入預算附屬表'!G124</f>
        <v>0</v>
      </c>
      <c r="H101" s="5">
        <f>'表3-1｜期入預算附屬表'!H124</f>
        <v>0</v>
      </c>
      <c r="I101" s="100">
        <f>'表3-2｜期出預算附屬表'!G336</f>
        <v>15320</v>
      </c>
      <c r="J101" s="39">
        <f>'表3-2｜期出預算附屬表'!H336</f>
        <v>0.17342676341736757</v>
      </c>
      <c r="K101" s="114" t="str">
        <f t="shared" si="5"/>
        <v>會費支出：15320</v>
      </c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</row>
    <row r="102" spans="1:30" ht="16">
      <c r="A102" s="73"/>
      <c r="B102" s="86"/>
      <c r="C102" s="73" t="s">
        <v>51</v>
      </c>
      <c r="D102" s="86" t="s">
        <v>51</v>
      </c>
      <c r="E102" s="80"/>
      <c r="F102" s="98" t="s">
        <v>52</v>
      </c>
      <c r="G102" s="44">
        <v>0</v>
      </c>
      <c r="H102" s="5">
        <v>0</v>
      </c>
      <c r="I102" s="100">
        <f>'表3-2｜期出預算附屬表'!G343</f>
        <v>4417</v>
      </c>
      <c r="J102" s="39">
        <f>'表3-2｜期出預算附屬表'!H343</f>
        <v>5.0001698042722753E-2</v>
      </c>
      <c r="K102" s="90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</row>
    <row r="103" spans="1:30" ht="16">
      <c r="A103" s="73"/>
      <c r="B103" s="86"/>
      <c r="C103" s="80"/>
      <c r="D103" s="80"/>
      <c r="E103" s="140"/>
      <c r="F103" s="98"/>
      <c r="G103" s="44"/>
      <c r="H103" s="99"/>
      <c r="I103" s="100"/>
      <c r="J103" s="34"/>
      <c r="K103" s="90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</row>
    <row r="104" spans="1:30" ht="16">
      <c r="A104" s="91" t="s">
        <v>49</v>
      </c>
      <c r="B104" s="92" t="s">
        <v>47</v>
      </c>
      <c r="C104" s="91" t="s">
        <v>47</v>
      </c>
      <c r="D104" s="92" t="s">
        <v>47</v>
      </c>
      <c r="E104" s="93"/>
      <c r="F104" s="94" t="s">
        <v>28</v>
      </c>
      <c r="G104" s="152">
        <f>'表3-1｜期入預算附屬表'!G127</f>
        <v>0</v>
      </c>
      <c r="H104" s="95">
        <v>0</v>
      </c>
      <c r="I104" s="153">
        <f>'表3-2｜期出預算附屬表'!G347</f>
        <v>184316</v>
      </c>
      <c r="J104" s="154">
        <f>'表3-2｜期出預算附屬表'!H347</f>
        <v>9.996755482780223E-2</v>
      </c>
      <c r="K104" s="97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</row>
    <row r="105" spans="1:30" ht="16">
      <c r="A105" s="155"/>
      <c r="B105" s="156" t="s">
        <v>46</v>
      </c>
      <c r="C105" s="155" t="s">
        <v>47</v>
      </c>
      <c r="D105" s="156" t="s">
        <v>47</v>
      </c>
      <c r="E105" s="157"/>
      <c r="F105" s="158" t="s">
        <v>29</v>
      </c>
      <c r="G105" s="120">
        <f>'表3-1｜期入預算附屬表'!G129</f>
        <v>0</v>
      </c>
      <c r="H105" s="5">
        <v>0</v>
      </c>
      <c r="I105" s="159">
        <f>'表3-2｜期出預算附屬表'!G348</f>
        <v>184316</v>
      </c>
      <c r="J105" s="160">
        <f>'表3-2｜期出預算附屬表'!H348</f>
        <v>1</v>
      </c>
      <c r="K105" s="16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</row>
    <row r="106" spans="1:30" ht="16">
      <c r="A106" s="73"/>
      <c r="B106" s="86"/>
      <c r="C106" s="73" t="s">
        <v>47</v>
      </c>
      <c r="D106" s="86" t="s">
        <v>46</v>
      </c>
      <c r="E106" s="80"/>
      <c r="F106" s="98" t="s">
        <v>86</v>
      </c>
      <c r="G106" s="44">
        <v>0</v>
      </c>
      <c r="H106" s="5">
        <v>0</v>
      </c>
      <c r="I106" s="100">
        <f>'表3-2｜期出預算附屬表'!G349</f>
        <v>119840</v>
      </c>
      <c r="J106" s="39">
        <f>'表3-2｜期出預算附屬表'!H349</f>
        <v>0.65018772108769718</v>
      </c>
      <c r="K106" s="37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</row>
    <row r="107" spans="1:30" ht="16">
      <c r="A107" s="73"/>
      <c r="B107" s="86"/>
      <c r="C107" s="73" t="s">
        <v>47</v>
      </c>
      <c r="D107" s="86" t="s">
        <v>49</v>
      </c>
      <c r="E107" s="80"/>
      <c r="F107" s="98" t="s">
        <v>87</v>
      </c>
      <c r="G107" s="44">
        <v>0</v>
      </c>
      <c r="H107" s="5">
        <v>0</v>
      </c>
      <c r="I107" s="100">
        <f>'表3-2｜期出預算附屬表'!G368</f>
        <v>14100</v>
      </c>
      <c r="J107" s="39">
        <f>'表3-2｜期出預算附屬表'!H368</f>
        <v>7.6499055969096549E-2</v>
      </c>
      <c r="K107" s="114" t="str">
        <f t="shared" ref="K107:K108" si="6">"會費支出："&amp;(I107-G107)</f>
        <v>會費支出：14100</v>
      </c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</row>
    <row r="108" spans="1:30" ht="32">
      <c r="A108" s="73"/>
      <c r="B108" s="86"/>
      <c r="C108" s="73" t="s">
        <v>47</v>
      </c>
      <c r="D108" s="86" t="s">
        <v>53</v>
      </c>
      <c r="E108" s="80"/>
      <c r="F108" s="98" t="s">
        <v>88</v>
      </c>
      <c r="G108" s="44">
        <v>0</v>
      </c>
      <c r="H108" s="5">
        <v>0</v>
      </c>
      <c r="I108" s="44">
        <f>'表3-2｜期出預算附屬表'!G377</f>
        <v>21860</v>
      </c>
      <c r="J108" s="39">
        <f>'表3-2｜期出預算附屬表'!H377</f>
        <v>0.11860066407691139</v>
      </c>
      <c r="K108" s="114" t="str">
        <f t="shared" si="6"/>
        <v>會費支出：21860</v>
      </c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</row>
    <row r="109" spans="1:30" ht="16">
      <c r="A109" s="73"/>
      <c r="B109" s="86"/>
      <c r="C109" s="73"/>
      <c r="D109" s="505" t="s">
        <v>457</v>
      </c>
      <c r="E109" s="80"/>
      <c r="F109" s="400" t="s">
        <v>123</v>
      </c>
      <c r="G109" s="44">
        <v>0</v>
      </c>
      <c r="H109" s="5">
        <v>0</v>
      </c>
      <c r="I109" s="44">
        <f>'表3-2｜期出預算附屬表'!G384</f>
        <v>19300</v>
      </c>
      <c r="J109" s="39">
        <f>'表3-2｜期出預算附屬表'!H384</f>
        <v>0.10471147377330237</v>
      </c>
      <c r="K109" s="11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</row>
    <row r="110" spans="1:30" ht="16">
      <c r="A110" s="73"/>
      <c r="B110" s="86"/>
      <c r="C110" s="73" t="s">
        <v>51</v>
      </c>
      <c r="D110" s="86" t="s">
        <v>51</v>
      </c>
      <c r="E110" s="80"/>
      <c r="F110" s="98" t="s">
        <v>52</v>
      </c>
      <c r="G110" s="44">
        <f>'表3-1｜期入預算附屬表'!G139</f>
        <v>0</v>
      </c>
      <c r="H110" s="5">
        <v>0</v>
      </c>
      <c r="I110" s="44">
        <f>'表3-2｜期出預算附屬表'!G391</f>
        <v>9216</v>
      </c>
      <c r="J110" s="39">
        <f>'表3-2｜期出預算附屬表'!H391</f>
        <v>5.0001085092992469E-2</v>
      </c>
      <c r="K110" s="90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</row>
    <row r="111" spans="1:30" ht="16">
      <c r="A111" s="73"/>
      <c r="B111" s="86"/>
      <c r="C111" s="73"/>
      <c r="D111" s="86"/>
      <c r="E111" s="80"/>
      <c r="F111" s="98"/>
      <c r="G111" s="44"/>
      <c r="H111" s="99"/>
      <c r="I111" s="100"/>
      <c r="J111" s="34"/>
      <c r="K111" s="90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</row>
    <row r="112" spans="1:30" ht="16">
      <c r="A112" s="91" t="s">
        <v>53</v>
      </c>
      <c r="B112" s="92" t="s">
        <v>47</v>
      </c>
      <c r="C112" s="91" t="s">
        <v>47</v>
      </c>
      <c r="D112" s="92" t="s">
        <v>47</v>
      </c>
      <c r="E112" s="93"/>
      <c r="F112" s="94" t="s">
        <v>30</v>
      </c>
      <c r="G112" s="152">
        <f>'表3-1｜期入預算附屬表'!G141</f>
        <v>0</v>
      </c>
      <c r="H112" s="95">
        <f>'表3-1｜期入預算附屬表'!H141</f>
        <v>0</v>
      </c>
      <c r="I112" s="153">
        <f>'表3-2｜期出預算附屬表'!G395</f>
        <v>94357.894736842107</v>
      </c>
      <c r="J112" s="162">
        <f>'表3-2｜期出預算附屬表'!H395</f>
        <v>5.1176935347670607E-2</v>
      </c>
      <c r="K112" s="97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</row>
    <row r="113" spans="1:30" ht="16">
      <c r="A113" s="155"/>
      <c r="B113" s="156" t="s">
        <v>46</v>
      </c>
      <c r="C113" s="155" t="s">
        <v>47</v>
      </c>
      <c r="D113" s="156" t="s">
        <v>47</v>
      </c>
      <c r="E113" s="157"/>
      <c r="F113" s="158" t="s">
        <v>31</v>
      </c>
      <c r="G113" s="120">
        <f>'表3-1｜期入預算附屬表'!G143</f>
        <v>0</v>
      </c>
      <c r="H113" s="163">
        <f>'表3-1｜期入預算附屬表'!H143</f>
        <v>0</v>
      </c>
      <c r="I113" s="159">
        <f>'表3-2｜期出預算附屬表'!G396</f>
        <v>94357.894736842107</v>
      </c>
      <c r="J113" s="160">
        <f>'表3-2｜期出預算附屬表'!H396</f>
        <v>1</v>
      </c>
      <c r="K113" s="16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</row>
    <row r="114" spans="1:30" ht="16">
      <c r="A114" s="73"/>
      <c r="B114" s="86"/>
      <c r="C114" s="73" t="s">
        <v>47</v>
      </c>
      <c r="D114" s="86" t="s">
        <v>46</v>
      </c>
      <c r="E114" s="80"/>
      <c r="F114" s="98" t="s">
        <v>89</v>
      </c>
      <c r="G114" s="44">
        <f>'表3-1｜期入預算附屬表'!G145</f>
        <v>0</v>
      </c>
      <c r="H114" s="5">
        <f>'表3-1｜期入預算附屬表'!H145</f>
        <v>0</v>
      </c>
      <c r="I114" s="100">
        <f>'表3-2｜期出預算附屬表'!G397</f>
        <v>89640</v>
      </c>
      <c r="J114" s="164">
        <f>'表3-2｜期出預算附屬表'!H397</f>
        <v>0.95</v>
      </c>
      <c r="K114" s="37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</row>
    <row r="115" spans="1:30" ht="16">
      <c r="A115" s="472"/>
      <c r="B115" s="473"/>
      <c r="C115" s="472" t="s">
        <v>51</v>
      </c>
      <c r="D115" s="473" t="s">
        <v>51</v>
      </c>
      <c r="E115" s="474"/>
      <c r="F115" s="475" t="s">
        <v>52</v>
      </c>
      <c r="G115" s="476">
        <f>'表3-1｜期入預算附屬表'!G147</f>
        <v>0</v>
      </c>
      <c r="H115" s="477">
        <f>'表3-1｜期入預算附屬表'!H147</f>
        <v>0</v>
      </c>
      <c r="I115" s="478">
        <f>'表3-2｜期出預算附屬表'!G412</f>
        <v>4717.8947368421059</v>
      </c>
      <c r="J115" s="479">
        <f>'表3-2｜期出預算附屬表'!H412</f>
        <v>0.05</v>
      </c>
      <c r="K115" s="37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</row>
  </sheetData>
  <mergeCells count="8">
    <mergeCell ref="A5:D5"/>
    <mergeCell ref="E5:F5"/>
    <mergeCell ref="K5:K6"/>
    <mergeCell ref="A1:K1"/>
    <mergeCell ref="A2:K2"/>
    <mergeCell ref="A3:K3"/>
    <mergeCell ref="A4:H4"/>
    <mergeCell ref="J4:K4"/>
  </mergeCells>
  <phoneticPr fontId="30" type="noConversion"/>
  <printOptions horizontalCentered="1"/>
  <pageMargins left="0.25" right="0.25" top="0.75" bottom="0.75" header="0" footer="0"/>
  <pageSetup paperSize="9" pageOrder="overThenDown" orientation="portrait" cellComments="atEnd"/>
  <headerFooter>
    <oddFooter>&amp;L&amp;A&amp;R&amp;P</oddFooter>
  </headerFooter>
  <rowBreaks count="4" manualBreakCount="4">
    <brk id="103" man="1"/>
    <brk id="43" man="1"/>
    <brk id="28" man="1"/>
    <brk id="61" man="1"/>
  </rowBreaks>
  <colBreaks count="1" manualBreakCount="1">
    <brk id="11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150"/>
  <sheetViews>
    <sheetView zoomScale="75" zoomScaleNormal="75" workbookViewId="0">
      <pane ySplit="7" topLeftCell="A8" activePane="bottomLeft" state="frozen"/>
      <selection pane="bottomLeft" activeCell="F9" sqref="F9"/>
    </sheetView>
  </sheetViews>
  <sheetFormatPr defaultColWidth="12.6328125" defaultRowHeight="15.75" customHeight="1"/>
  <cols>
    <col min="1" max="4" width="3" style="228" customWidth="1"/>
    <col min="5" max="5" width="5" style="228" customWidth="1"/>
    <col min="6" max="6" width="52.6328125" style="228" customWidth="1"/>
    <col min="7" max="7" width="13" style="228" customWidth="1"/>
    <col min="8" max="8" width="12.26953125" style="228" customWidth="1"/>
    <col min="9" max="9" width="36" style="228" customWidth="1"/>
    <col min="10" max="10" width="29.26953125" style="456" customWidth="1"/>
    <col min="11" max="30" width="29.26953125" style="228" customWidth="1"/>
    <col min="31" max="16384" width="12.6328125" style="228"/>
  </cols>
  <sheetData>
    <row r="1" spans="1:30" ht="15.5">
      <c r="A1" s="536" t="s">
        <v>0</v>
      </c>
      <c r="B1" s="518"/>
      <c r="C1" s="518"/>
      <c r="D1" s="518"/>
      <c r="E1" s="518"/>
      <c r="F1" s="518"/>
      <c r="G1" s="518"/>
      <c r="H1" s="518"/>
      <c r="I1" s="518"/>
      <c r="J1" s="518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</row>
    <row r="2" spans="1:30" ht="15.5">
      <c r="A2" s="537" t="s">
        <v>90</v>
      </c>
      <c r="B2" s="518"/>
      <c r="C2" s="518"/>
      <c r="D2" s="518"/>
      <c r="E2" s="518"/>
      <c r="F2" s="518"/>
      <c r="G2" s="518"/>
      <c r="H2" s="518"/>
      <c r="I2" s="518"/>
      <c r="J2" s="518"/>
      <c r="K2" s="390"/>
      <c r="L2" s="390"/>
      <c r="M2" s="390"/>
      <c r="N2" s="390"/>
      <c r="O2" s="390"/>
      <c r="P2" s="390"/>
      <c r="Q2" s="390"/>
      <c r="R2" s="390"/>
      <c r="S2" s="390"/>
      <c r="T2" s="390"/>
      <c r="U2" s="390"/>
      <c r="V2" s="390"/>
      <c r="W2" s="390"/>
      <c r="X2" s="390"/>
      <c r="Y2" s="390"/>
      <c r="Z2" s="390"/>
      <c r="AA2" s="390"/>
      <c r="AB2" s="390"/>
      <c r="AC2" s="390"/>
      <c r="AD2" s="390"/>
    </row>
    <row r="3" spans="1:30" ht="15.5">
      <c r="A3" s="538" t="s">
        <v>2</v>
      </c>
      <c r="B3" s="518"/>
      <c r="C3" s="518"/>
      <c r="D3" s="518"/>
      <c r="E3" s="518"/>
      <c r="F3" s="518"/>
      <c r="G3" s="518"/>
      <c r="H3" s="518"/>
      <c r="I3" s="518"/>
      <c r="J3" s="518"/>
      <c r="K3" s="391"/>
      <c r="L3" s="391"/>
      <c r="M3" s="391"/>
      <c r="N3" s="391"/>
      <c r="O3" s="391"/>
      <c r="P3" s="391"/>
      <c r="Q3" s="391"/>
      <c r="R3" s="391"/>
      <c r="S3" s="391"/>
      <c r="T3" s="391"/>
      <c r="U3" s="391"/>
      <c r="V3" s="391"/>
      <c r="W3" s="391"/>
      <c r="X3" s="391"/>
      <c r="Y3" s="391"/>
      <c r="Z3" s="391"/>
      <c r="AA3" s="391"/>
      <c r="AB3" s="391"/>
      <c r="AC3" s="391"/>
      <c r="AD3" s="391"/>
    </row>
    <row r="4" spans="1:30" ht="15.5">
      <c r="A4" s="539" t="s">
        <v>91</v>
      </c>
      <c r="B4" s="518"/>
      <c r="C4" s="518"/>
      <c r="D4" s="518"/>
      <c r="E4" s="518"/>
      <c r="F4" s="518"/>
      <c r="G4" s="518"/>
      <c r="H4" s="518"/>
      <c r="I4" s="540" t="s">
        <v>4</v>
      </c>
      <c r="J4" s="518"/>
      <c r="K4" s="392"/>
      <c r="L4" s="392"/>
      <c r="M4" s="392"/>
      <c r="N4" s="392"/>
      <c r="O4" s="392"/>
      <c r="P4" s="392"/>
      <c r="Q4" s="392"/>
      <c r="R4" s="392"/>
      <c r="S4" s="392"/>
      <c r="T4" s="392"/>
      <c r="U4" s="392"/>
      <c r="V4" s="392"/>
      <c r="W4" s="392"/>
      <c r="X4" s="392"/>
      <c r="Y4" s="392"/>
      <c r="Z4" s="392"/>
      <c r="AA4" s="392"/>
      <c r="AB4" s="392"/>
      <c r="AC4" s="392"/>
      <c r="AD4" s="392"/>
    </row>
    <row r="5" spans="1:30" ht="15.5">
      <c r="A5" s="541" t="s">
        <v>39</v>
      </c>
      <c r="B5" s="518"/>
      <c r="C5" s="518"/>
      <c r="D5" s="518"/>
      <c r="E5" s="541" t="s">
        <v>40</v>
      </c>
      <c r="F5" s="518"/>
      <c r="G5" s="393" t="s">
        <v>92</v>
      </c>
      <c r="H5" s="394" t="s">
        <v>92</v>
      </c>
      <c r="I5" s="532" t="s">
        <v>12</v>
      </c>
      <c r="J5" s="534" t="s">
        <v>93</v>
      </c>
      <c r="K5" s="395"/>
      <c r="L5" s="395"/>
      <c r="M5" s="395"/>
      <c r="N5" s="395"/>
      <c r="O5" s="395"/>
      <c r="P5" s="395"/>
      <c r="Q5" s="395"/>
      <c r="R5" s="395"/>
      <c r="S5" s="395"/>
      <c r="T5" s="395"/>
      <c r="U5" s="395"/>
      <c r="V5" s="395"/>
      <c r="W5" s="395"/>
      <c r="X5" s="395"/>
      <c r="Y5" s="395"/>
      <c r="Z5" s="395"/>
      <c r="AA5" s="395"/>
      <c r="AB5" s="395"/>
      <c r="AC5" s="395"/>
      <c r="AD5" s="395"/>
    </row>
    <row r="6" spans="1:30" ht="15.5">
      <c r="A6" s="396" t="s">
        <v>10</v>
      </c>
      <c r="B6" s="396" t="s">
        <v>11</v>
      </c>
      <c r="C6" s="396" t="s">
        <v>34</v>
      </c>
      <c r="D6" s="396" t="s">
        <v>36</v>
      </c>
      <c r="E6" s="396" t="s">
        <v>44</v>
      </c>
      <c r="F6" s="394" t="s">
        <v>45</v>
      </c>
      <c r="G6" s="393" t="s">
        <v>13</v>
      </c>
      <c r="H6" s="394" t="s">
        <v>14</v>
      </c>
      <c r="I6" s="533"/>
      <c r="J6" s="535"/>
      <c r="K6" s="395"/>
      <c r="L6" s="395"/>
      <c r="M6" s="395"/>
      <c r="N6" s="395"/>
      <c r="O6" s="395"/>
      <c r="P6" s="395"/>
      <c r="Q6" s="395"/>
      <c r="R6" s="395"/>
      <c r="S6" s="395"/>
      <c r="T6" s="395"/>
      <c r="U6" s="395"/>
      <c r="V6" s="395"/>
      <c r="W6" s="395"/>
      <c r="X6" s="395"/>
      <c r="Y6" s="395"/>
      <c r="Z6" s="395"/>
      <c r="AA6" s="395"/>
      <c r="AB6" s="395"/>
      <c r="AC6" s="395"/>
      <c r="AD6" s="395"/>
    </row>
    <row r="7" spans="1:30" ht="15.5">
      <c r="A7" s="396"/>
      <c r="B7" s="396"/>
      <c r="C7" s="396"/>
      <c r="D7" s="396"/>
      <c r="E7" s="396"/>
      <c r="F7" s="397" t="s">
        <v>15</v>
      </c>
      <c r="G7" s="398">
        <f>G9+G127+G141</f>
        <v>2591697</v>
      </c>
      <c r="H7" s="399">
        <v>1</v>
      </c>
      <c r="I7" s="403"/>
      <c r="J7" s="457"/>
      <c r="K7" s="401"/>
      <c r="L7" s="401"/>
      <c r="M7" s="401"/>
      <c r="N7" s="401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</row>
    <row r="8" spans="1:30" ht="15.5">
      <c r="A8" s="396"/>
      <c r="B8" s="396"/>
      <c r="C8" s="396"/>
      <c r="D8" s="396"/>
      <c r="E8" s="396"/>
      <c r="F8" s="397"/>
      <c r="G8" s="398"/>
      <c r="H8" s="402"/>
      <c r="I8" s="403"/>
      <c r="J8" s="458"/>
      <c r="K8" s="403"/>
      <c r="L8" s="403"/>
      <c r="M8" s="403"/>
      <c r="N8" s="403"/>
      <c r="O8" s="403"/>
      <c r="P8" s="403"/>
      <c r="Q8" s="403"/>
      <c r="R8" s="403"/>
      <c r="S8" s="403"/>
      <c r="T8" s="403"/>
      <c r="U8" s="403"/>
      <c r="V8" s="403"/>
      <c r="W8" s="403"/>
      <c r="X8" s="403"/>
      <c r="Y8" s="403"/>
      <c r="Z8" s="403"/>
      <c r="AA8" s="403"/>
      <c r="AB8" s="403"/>
      <c r="AC8" s="403"/>
      <c r="AD8" s="403"/>
    </row>
    <row r="9" spans="1:30" ht="15.5">
      <c r="A9" s="404" t="s">
        <v>46</v>
      </c>
      <c r="B9" s="404" t="s">
        <v>47</v>
      </c>
      <c r="C9" s="404" t="s">
        <v>47</v>
      </c>
      <c r="D9" s="404" t="s">
        <v>47</v>
      </c>
      <c r="E9" s="404"/>
      <c r="F9" s="405" t="s">
        <v>16</v>
      </c>
      <c r="G9" s="406">
        <f>G11+G20+G25+G30+G41+G71+G89+G96+G104+G118</f>
        <v>2591697</v>
      </c>
      <c r="H9" s="407">
        <f>G9/$G$7</f>
        <v>1</v>
      </c>
      <c r="I9" s="453"/>
      <c r="J9" s="459"/>
      <c r="K9" s="408"/>
      <c r="L9" s="408"/>
      <c r="M9" s="408"/>
      <c r="N9" s="408"/>
      <c r="O9" s="408"/>
      <c r="P9" s="408"/>
      <c r="Q9" s="408"/>
      <c r="R9" s="408"/>
      <c r="S9" s="408"/>
      <c r="T9" s="408"/>
      <c r="U9" s="408"/>
      <c r="V9" s="408"/>
      <c r="W9" s="408"/>
      <c r="X9" s="408"/>
      <c r="Y9" s="408"/>
      <c r="Z9" s="408"/>
      <c r="AA9" s="408"/>
      <c r="AB9" s="408"/>
      <c r="AC9" s="408"/>
      <c r="AD9" s="408"/>
    </row>
    <row r="10" spans="1:30" ht="15.5">
      <c r="A10" s="396"/>
      <c r="B10" s="396"/>
      <c r="C10" s="396"/>
      <c r="D10" s="396"/>
      <c r="E10" s="396"/>
      <c r="F10" s="400"/>
      <c r="G10" s="409"/>
      <c r="H10" s="400"/>
      <c r="I10" s="403"/>
      <c r="J10" s="458"/>
      <c r="K10" s="403"/>
      <c r="L10" s="403"/>
      <c r="M10" s="403"/>
      <c r="N10" s="403"/>
      <c r="O10" s="403"/>
      <c r="P10" s="403"/>
      <c r="Q10" s="403"/>
      <c r="R10" s="403"/>
      <c r="S10" s="403"/>
      <c r="T10" s="403"/>
      <c r="U10" s="403"/>
      <c r="V10" s="403"/>
      <c r="W10" s="403"/>
      <c r="X10" s="403"/>
      <c r="Y10" s="403"/>
      <c r="Z10" s="403"/>
      <c r="AA10" s="403"/>
      <c r="AB10" s="403"/>
      <c r="AC10" s="403"/>
      <c r="AD10" s="403"/>
    </row>
    <row r="11" spans="1:30" ht="15.5">
      <c r="A11" s="410"/>
      <c r="B11" s="404" t="s">
        <v>46</v>
      </c>
      <c r="C11" s="404" t="s">
        <v>47</v>
      </c>
      <c r="D11" s="404" t="s">
        <v>47</v>
      </c>
      <c r="E11" s="410"/>
      <c r="F11" s="405" t="s">
        <v>17</v>
      </c>
      <c r="G11" s="411">
        <f>G13+G18</f>
        <v>2095497</v>
      </c>
      <c r="H11" s="407">
        <f>G11/$G$9</f>
        <v>0.80854243377987478</v>
      </c>
      <c r="I11" s="412"/>
      <c r="J11" s="460"/>
      <c r="K11" s="412"/>
      <c r="L11" s="412"/>
      <c r="M11" s="412"/>
      <c r="N11" s="412"/>
      <c r="O11" s="412"/>
      <c r="P11" s="412"/>
      <c r="Q11" s="412"/>
      <c r="R11" s="412"/>
      <c r="S11" s="412"/>
      <c r="T11" s="412"/>
      <c r="U11" s="412"/>
      <c r="V11" s="412"/>
      <c r="W11" s="412"/>
      <c r="X11" s="412"/>
      <c r="Y11" s="412"/>
      <c r="Z11" s="412"/>
      <c r="AA11" s="412"/>
      <c r="AB11" s="412"/>
      <c r="AC11" s="412"/>
      <c r="AD11" s="412"/>
    </row>
    <row r="12" spans="1:30" ht="16">
      <c r="A12" s="413"/>
      <c r="B12" s="413"/>
      <c r="C12" s="396"/>
      <c r="D12" s="396"/>
      <c r="E12" s="413"/>
      <c r="F12" s="400"/>
      <c r="G12" s="414"/>
      <c r="H12" s="415"/>
      <c r="I12" s="435"/>
      <c r="J12" s="461"/>
      <c r="K12" s="416"/>
      <c r="L12" s="416"/>
      <c r="M12" s="416"/>
      <c r="N12" s="416"/>
      <c r="O12" s="416"/>
      <c r="P12" s="416"/>
      <c r="Q12" s="416"/>
      <c r="R12" s="416"/>
      <c r="S12" s="416"/>
      <c r="T12" s="416"/>
      <c r="U12" s="416"/>
      <c r="V12" s="416"/>
      <c r="W12" s="416"/>
      <c r="X12" s="416"/>
      <c r="Y12" s="416"/>
      <c r="Z12" s="416"/>
      <c r="AA12" s="416"/>
      <c r="AB12" s="416"/>
      <c r="AC12" s="416"/>
      <c r="AD12" s="416"/>
    </row>
    <row r="13" spans="1:30" ht="16">
      <c r="A13" s="413"/>
      <c r="B13" s="413"/>
      <c r="C13" s="396" t="s">
        <v>47</v>
      </c>
      <c r="D13" s="396" t="s">
        <v>46</v>
      </c>
      <c r="E13" s="413"/>
      <c r="F13" s="400" t="s">
        <v>48</v>
      </c>
      <c r="G13" s="414">
        <f>SUM(G14:G16)</f>
        <v>2095497</v>
      </c>
      <c r="H13" s="415">
        <f>G13/$G$11</f>
        <v>1</v>
      </c>
      <c r="I13" s="435"/>
      <c r="J13" s="461"/>
      <c r="K13" s="416"/>
      <c r="L13" s="417"/>
      <c r="M13" s="416"/>
      <c r="N13" s="416"/>
      <c r="O13" s="416"/>
      <c r="P13" s="416"/>
      <c r="Q13" s="416"/>
      <c r="R13" s="416"/>
      <c r="S13" s="416"/>
      <c r="T13" s="416"/>
      <c r="U13" s="416"/>
      <c r="V13" s="416"/>
      <c r="W13" s="416"/>
      <c r="X13" s="416"/>
      <c r="Y13" s="416"/>
      <c r="Z13" s="416"/>
      <c r="AA13" s="416"/>
      <c r="AB13" s="416"/>
      <c r="AC13" s="416"/>
      <c r="AD13" s="416"/>
    </row>
    <row r="14" spans="1:30" ht="16">
      <c r="A14" s="413"/>
      <c r="B14" s="413"/>
      <c r="C14" s="396"/>
      <c r="D14" s="396"/>
      <c r="E14" s="413" t="s">
        <v>94</v>
      </c>
      <c r="F14" s="400" t="s">
        <v>95</v>
      </c>
      <c r="G14" s="414">
        <v>1217715</v>
      </c>
      <c r="H14" s="418">
        <f t="shared" ref="H14:H16" si="0">G14/$G$13</f>
        <v>0.58111035234123454</v>
      </c>
      <c r="I14" s="435" t="s">
        <v>96</v>
      </c>
      <c r="J14" s="462"/>
      <c r="K14" s="419"/>
      <c r="L14" s="420"/>
      <c r="M14" s="419"/>
      <c r="N14" s="419"/>
      <c r="O14" s="419"/>
      <c r="P14" s="419"/>
      <c r="Q14" s="419"/>
      <c r="R14" s="419"/>
      <c r="S14" s="419"/>
      <c r="T14" s="419"/>
      <c r="U14" s="419"/>
      <c r="V14" s="419"/>
      <c r="W14" s="419"/>
      <c r="X14" s="419"/>
      <c r="Y14" s="419"/>
      <c r="Z14" s="419"/>
      <c r="AA14" s="419"/>
      <c r="AB14" s="419"/>
      <c r="AC14" s="419"/>
      <c r="AD14" s="419"/>
    </row>
    <row r="15" spans="1:30" ht="16">
      <c r="A15" s="396"/>
      <c r="B15" s="396"/>
      <c r="C15" s="396"/>
      <c r="D15" s="396"/>
      <c r="E15" s="396" t="s">
        <v>97</v>
      </c>
      <c r="F15" s="400" t="s">
        <v>98</v>
      </c>
      <c r="G15" s="414">
        <v>0</v>
      </c>
      <c r="H15" s="428">
        <f t="shared" si="0"/>
        <v>0</v>
      </c>
      <c r="I15" s="435"/>
      <c r="J15" s="463"/>
      <c r="K15" s="421"/>
      <c r="L15" s="421"/>
      <c r="M15" s="421"/>
      <c r="N15" s="421"/>
      <c r="O15" s="421"/>
      <c r="P15" s="421"/>
      <c r="Q15" s="421"/>
      <c r="R15" s="421"/>
      <c r="S15" s="421"/>
      <c r="T15" s="421"/>
      <c r="U15" s="421"/>
      <c r="V15" s="421"/>
      <c r="W15" s="421"/>
      <c r="X15" s="421"/>
      <c r="Y15" s="421"/>
      <c r="Z15" s="421"/>
      <c r="AA15" s="421"/>
      <c r="AB15" s="421"/>
      <c r="AC15" s="421"/>
      <c r="AD15" s="421"/>
    </row>
    <row r="16" spans="1:30" ht="16">
      <c r="A16" s="413"/>
      <c r="B16" s="413"/>
      <c r="C16" s="396"/>
      <c r="D16" s="396"/>
      <c r="E16" s="413" t="s">
        <v>99</v>
      </c>
      <c r="F16" s="400" t="s">
        <v>100</v>
      </c>
      <c r="G16" s="414">
        <v>877782</v>
      </c>
      <c r="H16" s="418">
        <f t="shared" si="0"/>
        <v>0.41888964765876546</v>
      </c>
      <c r="I16" s="435" t="s">
        <v>101</v>
      </c>
      <c r="J16" s="464"/>
      <c r="K16" s="422"/>
      <c r="L16" s="422"/>
      <c r="M16" s="422"/>
      <c r="N16" s="422"/>
      <c r="O16" s="422"/>
      <c r="P16" s="422"/>
      <c r="Q16" s="422"/>
      <c r="R16" s="422"/>
      <c r="S16" s="422"/>
      <c r="T16" s="422"/>
      <c r="U16" s="422"/>
      <c r="V16" s="422"/>
      <c r="W16" s="422"/>
      <c r="X16" s="422"/>
      <c r="Y16" s="422"/>
      <c r="Z16" s="422"/>
      <c r="AA16" s="422"/>
      <c r="AB16" s="422"/>
      <c r="AC16" s="422"/>
      <c r="AD16" s="422"/>
    </row>
    <row r="17" spans="1:30" ht="15.5">
      <c r="A17" s="423"/>
      <c r="B17" s="423"/>
      <c r="C17" s="423"/>
      <c r="D17" s="423"/>
      <c r="E17" s="423"/>
      <c r="F17" s="424"/>
      <c r="G17" s="425"/>
      <c r="H17" s="426"/>
      <c r="I17" s="454"/>
      <c r="J17" s="464"/>
      <c r="K17" s="422"/>
      <c r="L17" s="422"/>
      <c r="M17" s="422"/>
      <c r="N17" s="422"/>
      <c r="O17" s="422"/>
      <c r="P17" s="422"/>
      <c r="Q17" s="422"/>
      <c r="R17" s="422"/>
      <c r="S17" s="422"/>
      <c r="T17" s="422"/>
      <c r="U17" s="422"/>
      <c r="V17" s="422"/>
      <c r="W17" s="422"/>
      <c r="X17" s="422"/>
      <c r="Y17" s="422"/>
      <c r="Z17" s="422"/>
      <c r="AA17" s="422"/>
      <c r="AB17" s="422"/>
      <c r="AC17" s="422"/>
      <c r="AD17" s="422"/>
    </row>
    <row r="18" spans="1:30" ht="15.5">
      <c r="A18" s="413"/>
      <c r="B18" s="413"/>
      <c r="C18" s="396" t="s">
        <v>51</v>
      </c>
      <c r="D18" s="396" t="s">
        <v>51</v>
      </c>
      <c r="E18" s="413"/>
      <c r="F18" s="427" t="s">
        <v>52</v>
      </c>
      <c r="G18" s="414">
        <v>0</v>
      </c>
      <c r="H18" s="428">
        <f>G18/$G$11</f>
        <v>0</v>
      </c>
      <c r="I18" s="403"/>
      <c r="J18" s="458"/>
      <c r="K18" s="403"/>
      <c r="L18" s="403"/>
      <c r="M18" s="403"/>
      <c r="N18" s="403"/>
      <c r="O18" s="403"/>
      <c r="P18" s="403"/>
      <c r="Q18" s="403"/>
      <c r="R18" s="403"/>
      <c r="S18" s="403"/>
      <c r="T18" s="403"/>
      <c r="U18" s="403"/>
      <c r="V18" s="403"/>
      <c r="W18" s="403"/>
      <c r="X18" s="403"/>
      <c r="Y18" s="403"/>
      <c r="Z18" s="403"/>
      <c r="AA18" s="403"/>
      <c r="AB18" s="403"/>
      <c r="AC18" s="403"/>
      <c r="AD18" s="403"/>
    </row>
    <row r="19" spans="1:30" ht="15.5">
      <c r="A19" s="396"/>
      <c r="B19" s="396"/>
      <c r="C19" s="396"/>
      <c r="D19" s="396"/>
      <c r="E19" s="396"/>
      <c r="F19" s="427"/>
      <c r="G19" s="429"/>
      <c r="H19" s="400"/>
      <c r="I19" s="403"/>
      <c r="J19" s="458"/>
      <c r="K19" s="403"/>
      <c r="L19" s="403"/>
      <c r="M19" s="403"/>
      <c r="N19" s="403"/>
      <c r="O19" s="403"/>
      <c r="P19" s="403"/>
      <c r="Q19" s="403"/>
      <c r="R19" s="403"/>
      <c r="S19" s="403"/>
      <c r="T19" s="403"/>
      <c r="U19" s="403"/>
      <c r="V19" s="403"/>
      <c r="W19" s="403"/>
      <c r="X19" s="403"/>
      <c r="Y19" s="403"/>
      <c r="Z19" s="403"/>
      <c r="AA19" s="403"/>
      <c r="AB19" s="403"/>
      <c r="AC19" s="403"/>
      <c r="AD19" s="403"/>
    </row>
    <row r="20" spans="1:30" ht="15.5">
      <c r="A20" s="410"/>
      <c r="B20" s="404" t="s">
        <v>49</v>
      </c>
      <c r="C20" s="404" t="s">
        <v>47</v>
      </c>
      <c r="D20" s="404" t="s">
        <v>47</v>
      </c>
      <c r="E20" s="410"/>
      <c r="F20" s="405" t="s">
        <v>18</v>
      </c>
      <c r="G20" s="411">
        <v>0</v>
      </c>
      <c r="H20" s="407">
        <f>G20/$G$9</f>
        <v>0</v>
      </c>
      <c r="I20" s="412"/>
      <c r="J20" s="460"/>
      <c r="K20" s="412"/>
      <c r="L20" s="412"/>
      <c r="M20" s="412"/>
      <c r="N20" s="412"/>
      <c r="O20" s="412"/>
      <c r="P20" s="412"/>
      <c r="Q20" s="412"/>
      <c r="R20" s="412"/>
      <c r="S20" s="412"/>
      <c r="T20" s="412"/>
      <c r="U20" s="412"/>
      <c r="V20" s="412"/>
      <c r="W20" s="412"/>
      <c r="X20" s="412"/>
      <c r="Y20" s="412"/>
      <c r="Z20" s="412"/>
      <c r="AA20" s="412"/>
      <c r="AB20" s="412"/>
      <c r="AC20" s="412"/>
      <c r="AD20" s="412"/>
    </row>
    <row r="21" spans="1:30" ht="15.5">
      <c r="A21" s="413"/>
      <c r="B21" s="413"/>
      <c r="C21" s="396"/>
      <c r="D21" s="396"/>
      <c r="E21" s="413"/>
      <c r="F21" s="400"/>
      <c r="G21" s="414"/>
      <c r="H21" s="415"/>
      <c r="I21" s="403"/>
      <c r="J21" s="458"/>
      <c r="K21" s="403"/>
      <c r="L21" s="403"/>
      <c r="M21" s="403"/>
      <c r="N21" s="403"/>
      <c r="O21" s="403"/>
      <c r="P21" s="403"/>
      <c r="Q21" s="403"/>
      <c r="R21" s="403"/>
      <c r="S21" s="403"/>
      <c r="T21" s="403"/>
      <c r="U21" s="403"/>
      <c r="V21" s="403"/>
      <c r="W21" s="403"/>
      <c r="X21" s="403"/>
      <c r="Y21" s="403"/>
      <c r="Z21" s="403"/>
      <c r="AA21" s="403"/>
      <c r="AB21" s="403"/>
      <c r="AC21" s="403"/>
      <c r="AD21" s="403"/>
    </row>
    <row r="22" spans="1:30" ht="15.5">
      <c r="A22" s="413"/>
      <c r="B22" s="413"/>
      <c r="C22" s="396" t="s">
        <v>47</v>
      </c>
      <c r="D22" s="396" t="s">
        <v>46</v>
      </c>
      <c r="E22" s="413"/>
      <c r="F22" s="400" t="s">
        <v>48</v>
      </c>
      <c r="G22" s="414">
        <v>0</v>
      </c>
      <c r="H22" s="415">
        <v>0</v>
      </c>
      <c r="I22" s="403"/>
      <c r="J22" s="458"/>
      <c r="K22" s="403"/>
      <c r="L22" s="403"/>
      <c r="M22" s="403"/>
      <c r="N22" s="403"/>
      <c r="O22" s="403"/>
      <c r="P22" s="403"/>
      <c r="Q22" s="403"/>
      <c r="R22" s="403"/>
      <c r="S22" s="403"/>
      <c r="T22" s="403"/>
      <c r="U22" s="403"/>
      <c r="V22" s="403"/>
      <c r="W22" s="403"/>
      <c r="X22" s="403"/>
      <c r="Y22" s="403"/>
      <c r="Z22" s="403"/>
      <c r="AA22" s="403"/>
      <c r="AB22" s="403"/>
      <c r="AC22" s="403"/>
      <c r="AD22" s="403"/>
    </row>
    <row r="23" spans="1:30" ht="15.5">
      <c r="A23" s="413"/>
      <c r="B23" s="413"/>
      <c r="C23" s="396" t="s">
        <v>51</v>
      </c>
      <c r="D23" s="396" t="s">
        <v>51</v>
      </c>
      <c r="E23" s="413"/>
      <c r="F23" s="400" t="s">
        <v>52</v>
      </c>
      <c r="G23" s="414">
        <v>0</v>
      </c>
      <c r="H23" s="418">
        <v>0</v>
      </c>
      <c r="I23" s="403"/>
      <c r="J23" s="458"/>
      <c r="K23" s="403"/>
      <c r="L23" s="403"/>
      <c r="M23" s="403"/>
      <c r="N23" s="403"/>
      <c r="O23" s="403"/>
      <c r="P23" s="403"/>
      <c r="Q23" s="403"/>
      <c r="R23" s="403"/>
      <c r="S23" s="403"/>
      <c r="T23" s="403"/>
      <c r="U23" s="403"/>
      <c r="V23" s="403"/>
      <c r="W23" s="403"/>
      <c r="X23" s="403"/>
      <c r="Y23" s="403"/>
      <c r="Z23" s="403"/>
      <c r="AA23" s="403"/>
      <c r="AB23" s="403"/>
      <c r="AC23" s="403"/>
      <c r="AD23" s="403"/>
    </row>
    <row r="24" spans="1:30" ht="15.5">
      <c r="A24" s="396"/>
      <c r="B24" s="396"/>
      <c r="C24" s="396"/>
      <c r="D24" s="396"/>
      <c r="E24" s="396"/>
      <c r="F24" s="400"/>
      <c r="G24" s="414"/>
      <c r="H24" s="400"/>
      <c r="I24" s="403"/>
      <c r="J24" s="458"/>
      <c r="K24" s="403"/>
      <c r="L24" s="403"/>
      <c r="M24" s="403"/>
      <c r="N24" s="403"/>
      <c r="O24" s="403"/>
      <c r="P24" s="403"/>
      <c r="Q24" s="403"/>
      <c r="R24" s="403"/>
      <c r="S24" s="403"/>
      <c r="T24" s="403"/>
      <c r="U24" s="403"/>
      <c r="V24" s="403"/>
      <c r="W24" s="403"/>
      <c r="X24" s="403"/>
      <c r="Y24" s="403"/>
      <c r="Z24" s="403"/>
      <c r="AA24" s="403"/>
      <c r="AB24" s="403"/>
      <c r="AC24" s="403"/>
      <c r="AD24" s="403"/>
    </row>
    <row r="25" spans="1:30" ht="15.5">
      <c r="A25" s="410"/>
      <c r="B25" s="404" t="s">
        <v>53</v>
      </c>
      <c r="C25" s="404" t="s">
        <v>47</v>
      </c>
      <c r="D25" s="404" t="s">
        <v>47</v>
      </c>
      <c r="E25" s="410"/>
      <c r="F25" s="405" t="s">
        <v>19</v>
      </c>
      <c r="G25" s="411">
        <v>0</v>
      </c>
      <c r="H25" s="407">
        <f>G25/$G$9</f>
        <v>0</v>
      </c>
      <c r="I25" s="412"/>
      <c r="J25" s="460"/>
      <c r="K25" s="412"/>
      <c r="L25" s="412"/>
      <c r="M25" s="412"/>
      <c r="N25" s="412"/>
      <c r="O25" s="412"/>
      <c r="P25" s="412"/>
      <c r="Q25" s="412"/>
      <c r="R25" s="412"/>
      <c r="S25" s="412"/>
      <c r="T25" s="412"/>
      <c r="U25" s="412"/>
      <c r="V25" s="412"/>
      <c r="W25" s="412"/>
      <c r="X25" s="412"/>
      <c r="Y25" s="412"/>
      <c r="Z25" s="412"/>
      <c r="AA25" s="412"/>
      <c r="AB25" s="412"/>
      <c r="AC25" s="412"/>
      <c r="AD25" s="412"/>
    </row>
    <row r="26" spans="1:30" ht="15.5">
      <c r="A26" s="413"/>
      <c r="B26" s="413"/>
      <c r="C26" s="396"/>
      <c r="D26" s="396"/>
      <c r="E26" s="413"/>
      <c r="F26" s="400"/>
      <c r="G26" s="414"/>
      <c r="H26" s="428"/>
      <c r="I26" s="403"/>
      <c r="J26" s="458"/>
      <c r="K26" s="403"/>
      <c r="L26" s="403"/>
      <c r="M26" s="403"/>
      <c r="N26" s="403"/>
      <c r="O26" s="403"/>
      <c r="P26" s="403"/>
      <c r="Q26" s="403"/>
      <c r="R26" s="403"/>
      <c r="S26" s="403"/>
      <c r="T26" s="403"/>
      <c r="U26" s="403"/>
      <c r="V26" s="403"/>
      <c r="W26" s="403"/>
      <c r="X26" s="403"/>
      <c r="Y26" s="403"/>
      <c r="Z26" s="403"/>
      <c r="AA26" s="403"/>
      <c r="AB26" s="403"/>
      <c r="AC26" s="403"/>
      <c r="AD26" s="403"/>
    </row>
    <row r="27" spans="1:30" ht="15.5">
      <c r="A27" s="413"/>
      <c r="B27" s="413"/>
      <c r="C27" s="396" t="s">
        <v>47</v>
      </c>
      <c r="D27" s="396" t="s">
        <v>46</v>
      </c>
      <c r="E27" s="413"/>
      <c r="F27" s="400" t="s">
        <v>48</v>
      </c>
      <c r="G27" s="414">
        <v>0</v>
      </c>
      <c r="H27" s="428">
        <v>0</v>
      </c>
      <c r="I27" s="403"/>
      <c r="J27" s="458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U27" s="403"/>
      <c r="V27" s="403"/>
      <c r="W27" s="403"/>
      <c r="X27" s="403"/>
      <c r="Y27" s="403"/>
      <c r="Z27" s="403"/>
      <c r="AA27" s="403"/>
      <c r="AB27" s="403"/>
      <c r="AC27" s="403"/>
      <c r="AD27" s="403"/>
    </row>
    <row r="28" spans="1:30" ht="15.5">
      <c r="A28" s="413"/>
      <c r="B28" s="413"/>
      <c r="C28" s="396" t="s">
        <v>51</v>
      </c>
      <c r="D28" s="396" t="s">
        <v>51</v>
      </c>
      <c r="E28" s="413"/>
      <c r="F28" s="400" t="s">
        <v>52</v>
      </c>
      <c r="G28" s="414">
        <v>0</v>
      </c>
      <c r="H28" s="428">
        <v>0</v>
      </c>
      <c r="I28" s="403"/>
      <c r="J28" s="458"/>
      <c r="K28" s="403"/>
      <c r="L28" s="403"/>
      <c r="M28" s="403"/>
      <c r="N28" s="403"/>
      <c r="O28" s="403"/>
      <c r="P28" s="403"/>
      <c r="Q28" s="403"/>
      <c r="R28" s="403"/>
      <c r="S28" s="403"/>
      <c r="T28" s="403"/>
      <c r="U28" s="403"/>
      <c r="V28" s="403"/>
      <c r="W28" s="403"/>
      <c r="X28" s="403"/>
      <c r="Y28" s="403"/>
      <c r="Z28" s="403"/>
      <c r="AA28" s="403"/>
      <c r="AB28" s="403"/>
      <c r="AC28" s="403"/>
      <c r="AD28" s="403"/>
    </row>
    <row r="29" spans="1:30" ht="15.5">
      <c r="A29" s="396"/>
      <c r="B29" s="396"/>
      <c r="C29" s="396"/>
      <c r="D29" s="396"/>
      <c r="E29" s="396"/>
      <c r="F29" s="400"/>
      <c r="G29" s="414"/>
      <c r="H29" s="400"/>
      <c r="I29" s="403"/>
      <c r="J29" s="458"/>
      <c r="K29" s="403"/>
      <c r="L29" s="403"/>
      <c r="M29" s="403"/>
      <c r="N29" s="403"/>
      <c r="O29" s="403"/>
      <c r="P29" s="403"/>
      <c r="Q29" s="403"/>
      <c r="R29" s="403"/>
      <c r="S29" s="403"/>
      <c r="T29" s="403"/>
      <c r="U29" s="403"/>
      <c r="V29" s="403"/>
      <c r="W29" s="403"/>
      <c r="X29" s="403"/>
      <c r="Y29" s="403"/>
      <c r="Z29" s="403"/>
      <c r="AA29" s="403"/>
      <c r="AB29" s="403"/>
      <c r="AC29" s="403"/>
      <c r="AD29" s="403"/>
    </row>
    <row r="30" spans="1:30" ht="15.5">
      <c r="A30" s="410"/>
      <c r="B30" s="404" t="s">
        <v>54</v>
      </c>
      <c r="C30" s="404" t="s">
        <v>47</v>
      </c>
      <c r="D30" s="404" t="s">
        <v>47</v>
      </c>
      <c r="E30" s="410"/>
      <c r="F30" s="405" t="s">
        <v>20</v>
      </c>
      <c r="G30" s="411">
        <f>G33</f>
        <v>220000</v>
      </c>
      <c r="H30" s="407">
        <f>G30/$G$9</f>
        <v>8.4886466280587589E-2</v>
      </c>
      <c r="I30" s="412"/>
      <c r="J30" s="460"/>
      <c r="K30" s="412"/>
      <c r="L30" s="412"/>
      <c r="M30" s="412"/>
      <c r="N30" s="412"/>
      <c r="O30" s="412"/>
      <c r="P30" s="412"/>
      <c r="Q30" s="412"/>
      <c r="R30" s="412"/>
      <c r="S30" s="412"/>
      <c r="T30" s="412"/>
      <c r="U30" s="412"/>
      <c r="V30" s="412"/>
      <c r="W30" s="412"/>
      <c r="X30" s="412"/>
      <c r="Y30" s="412"/>
      <c r="Z30" s="412"/>
      <c r="AA30" s="412"/>
      <c r="AB30" s="412"/>
      <c r="AC30" s="412"/>
      <c r="AD30" s="412"/>
    </row>
    <row r="31" spans="1:30" ht="16">
      <c r="A31" s="413"/>
      <c r="B31" s="413"/>
      <c r="C31" s="396"/>
      <c r="D31" s="396"/>
      <c r="E31" s="413"/>
      <c r="F31" s="400"/>
      <c r="G31" s="414"/>
      <c r="H31" s="428"/>
      <c r="I31" s="435"/>
      <c r="J31" s="458"/>
      <c r="K31" s="403"/>
      <c r="L31" s="403"/>
      <c r="M31" s="403"/>
      <c r="N31" s="403"/>
      <c r="O31" s="403"/>
      <c r="P31" s="403"/>
      <c r="Q31" s="403"/>
      <c r="R31" s="403"/>
      <c r="S31" s="403"/>
      <c r="T31" s="403"/>
      <c r="U31" s="403"/>
      <c r="V31" s="403"/>
      <c r="W31" s="403"/>
      <c r="X31" s="403"/>
      <c r="Y31" s="403"/>
      <c r="Z31" s="403"/>
      <c r="AA31" s="403"/>
      <c r="AB31" s="403"/>
      <c r="AC31" s="403"/>
      <c r="AD31" s="403"/>
    </row>
    <row r="32" spans="1:30" ht="16">
      <c r="A32" s="413"/>
      <c r="B32" s="413"/>
      <c r="C32" s="396" t="s">
        <v>47</v>
      </c>
      <c r="D32" s="396" t="s">
        <v>46</v>
      </c>
      <c r="E32" s="430"/>
      <c r="F32" s="430" t="s">
        <v>48</v>
      </c>
      <c r="G32" s="414">
        <v>0</v>
      </c>
      <c r="H32" s="428">
        <v>0</v>
      </c>
      <c r="I32" s="435"/>
      <c r="J32" s="458"/>
      <c r="K32" s="403"/>
      <c r="L32" s="403"/>
      <c r="M32" s="403"/>
      <c r="N32" s="403"/>
      <c r="O32" s="403"/>
      <c r="P32" s="403"/>
      <c r="Q32" s="403"/>
      <c r="R32" s="403"/>
      <c r="S32" s="403"/>
      <c r="T32" s="403"/>
      <c r="U32" s="403"/>
      <c r="V32" s="403"/>
      <c r="W32" s="403"/>
      <c r="X32" s="403"/>
      <c r="Y32" s="403"/>
      <c r="Z32" s="403"/>
      <c r="AA32" s="403"/>
      <c r="AB32" s="403"/>
      <c r="AC32" s="403"/>
      <c r="AD32" s="403"/>
    </row>
    <row r="33" spans="1:30" ht="16">
      <c r="A33" s="413"/>
      <c r="B33" s="413"/>
      <c r="C33" s="396" t="s">
        <v>47</v>
      </c>
      <c r="D33" s="396" t="s">
        <v>49</v>
      </c>
      <c r="E33" s="430"/>
      <c r="F33" s="430" t="s">
        <v>55</v>
      </c>
      <c r="G33" s="414">
        <f>SUM(G34:G37)</f>
        <v>220000</v>
      </c>
      <c r="H33" s="428">
        <v>1</v>
      </c>
      <c r="I33" s="435"/>
      <c r="J33" s="458"/>
      <c r="K33" s="403"/>
      <c r="L33" s="403"/>
      <c r="M33" s="403"/>
      <c r="N33" s="403"/>
      <c r="O33" s="403"/>
      <c r="P33" s="403"/>
      <c r="Q33" s="403"/>
      <c r="R33" s="403"/>
      <c r="S33" s="403"/>
      <c r="T33" s="403"/>
      <c r="U33" s="403"/>
      <c r="V33" s="403"/>
      <c r="W33" s="403"/>
      <c r="X33" s="403"/>
      <c r="Y33" s="403"/>
      <c r="Z33" s="403"/>
      <c r="AA33" s="403"/>
      <c r="AB33" s="403"/>
      <c r="AC33" s="403"/>
      <c r="AD33" s="403"/>
    </row>
    <row r="34" spans="1:30" ht="16">
      <c r="A34" s="413"/>
      <c r="B34" s="413"/>
      <c r="C34" s="396"/>
      <c r="D34" s="396"/>
      <c r="E34" s="430" t="s">
        <v>102</v>
      </c>
      <c r="F34" s="430" t="s">
        <v>103</v>
      </c>
      <c r="G34" s="414">
        <v>100000</v>
      </c>
      <c r="H34" s="428">
        <f t="shared" ref="H34:H37" si="1">G34/$G$33</f>
        <v>0.45454545454545453</v>
      </c>
      <c r="I34" s="435" t="s">
        <v>104</v>
      </c>
      <c r="J34" s="458"/>
      <c r="K34" s="403"/>
      <c r="L34" s="403"/>
      <c r="M34" s="403"/>
      <c r="N34" s="403"/>
      <c r="O34" s="403"/>
      <c r="P34" s="403"/>
      <c r="Q34" s="403"/>
      <c r="R34" s="403"/>
      <c r="S34" s="403"/>
      <c r="T34" s="403"/>
      <c r="U34" s="403"/>
      <c r="V34" s="403"/>
      <c r="W34" s="403"/>
      <c r="X34" s="403"/>
      <c r="Y34" s="403"/>
      <c r="Z34" s="403"/>
      <c r="AA34" s="403"/>
      <c r="AB34" s="403"/>
      <c r="AC34" s="403"/>
      <c r="AD34" s="403"/>
    </row>
    <row r="35" spans="1:30" ht="16">
      <c r="A35" s="413"/>
      <c r="B35" s="413"/>
      <c r="C35" s="396"/>
      <c r="D35" s="396"/>
      <c r="E35" s="430" t="s">
        <v>102</v>
      </c>
      <c r="F35" s="430" t="s">
        <v>105</v>
      </c>
      <c r="G35" s="414">
        <v>100000</v>
      </c>
      <c r="H35" s="428">
        <f t="shared" si="1"/>
        <v>0.45454545454545453</v>
      </c>
      <c r="I35" s="435" t="s">
        <v>104</v>
      </c>
      <c r="J35" s="458"/>
      <c r="K35" s="403"/>
      <c r="L35" s="403"/>
      <c r="M35" s="403"/>
      <c r="N35" s="403"/>
      <c r="O35" s="403"/>
      <c r="P35" s="403"/>
      <c r="Q35" s="403"/>
      <c r="R35" s="403"/>
      <c r="S35" s="403"/>
      <c r="T35" s="403"/>
      <c r="U35" s="403"/>
      <c r="V35" s="403"/>
      <c r="W35" s="403"/>
      <c r="X35" s="403"/>
      <c r="Y35" s="403"/>
      <c r="Z35" s="403"/>
      <c r="AA35" s="403"/>
      <c r="AB35" s="403"/>
      <c r="AC35" s="403"/>
      <c r="AD35" s="403"/>
    </row>
    <row r="36" spans="1:30" ht="16">
      <c r="A36" s="413"/>
      <c r="B36" s="413"/>
      <c r="C36" s="396"/>
      <c r="D36" s="396"/>
      <c r="E36" s="430" t="s">
        <v>102</v>
      </c>
      <c r="F36" s="430" t="s">
        <v>106</v>
      </c>
      <c r="G36" s="414">
        <v>5000</v>
      </c>
      <c r="H36" s="428">
        <f t="shared" si="1"/>
        <v>2.2727272727272728E-2</v>
      </c>
      <c r="I36" s="435"/>
      <c r="J36" s="458"/>
      <c r="K36" s="403"/>
      <c r="L36" s="403"/>
      <c r="M36" s="403"/>
      <c r="N36" s="403"/>
      <c r="O36" s="403"/>
      <c r="P36" s="403"/>
      <c r="Q36" s="403"/>
      <c r="R36" s="403"/>
      <c r="S36" s="403"/>
      <c r="T36" s="403"/>
      <c r="U36" s="403"/>
      <c r="V36" s="403"/>
      <c r="W36" s="403"/>
      <c r="X36" s="403"/>
      <c r="Y36" s="403"/>
      <c r="Z36" s="403"/>
      <c r="AA36" s="403"/>
      <c r="AB36" s="403"/>
      <c r="AC36" s="403"/>
      <c r="AD36" s="403"/>
    </row>
    <row r="37" spans="1:30" ht="16">
      <c r="A37" s="413"/>
      <c r="B37" s="413"/>
      <c r="C37" s="396"/>
      <c r="D37" s="396"/>
      <c r="E37" s="430" t="s">
        <v>102</v>
      </c>
      <c r="F37" s="430" t="s">
        <v>107</v>
      </c>
      <c r="G37" s="414">
        <v>15000</v>
      </c>
      <c r="H37" s="428">
        <f t="shared" si="1"/>
        <v>6.8181818181818177E-2</v>
      </c>
      <c r="I37" s="435"/>
      <c r="J37" s="458"/>
      <c r="K37" s="403"/>
      <c r="L37" s="403"/>
      <c r="M37" s="403"/>
      <c r="N37" s="403"/>
      <c r="O37" s="403"/>
      <c r="P37" s="403"/>
      <c r="Q37" s="403"/>
      <c r="R37" s="403"/>
      <c r="S37" s="403"/>
      <c r="T37" s="403"/>
      <c r="U37" s="403"/>
      <c r="V37" s="403"/>
      <c r="W37" s="403"/>
      <c r="X37" s="403"/>
      <c r="Y37" s="403"/>
      <c r="Z37" s="403"/>
      <c r="AA37" s="403"/>
      <c r="AB37" s="403"/>
      <c r="AC37" s="403"/>
      <c r="AD37" s="403"/>
    </row>
    <row r="38" spans="1:30" ht="16">
      <c r="A38" s="413"/>
      <c r="B38" s="413"/>
      <c r="C38" s="396"/>
      <c r="D38" s="396"/>
      <c r="E38" s="430"/>
      <c r="F38" s="430"/>
      <c r="G38" s="414"/>
      <c r="H38" s="428"/>
      <c r="I38" s="435"/>
      <c r="J38" s="458"/>
      <c r="K38" s="403"/>
      <c r="L38" s="403"/>
      <c r="M38" s="403"/>
      <c r="N38" s="403"/>
      <c r="O38" s="403"/>
      <c r="P38" s="403"/>
      <c r="Q38" s="403"/>
      <c r="R38" s="403"/>
      <c r="S38" s="403"/>
      <c r="T38" s="403"/>
      <c r="U38" s="403"/>
      <c r="V38" s="403"/>
      <c r="W38" s="403"/>
      <c r="X38" s="403"/>
      <c r="Y38" s="403"/>
      <c r="Z38" s="403"/>
      <c r="AA38" s="403"/>
      <c r="AB38" s="403"/>
      <c r="AC38" s="403"/>
      <c r="AD38" s="403"/>
    </row>
    <row r="39" spans="1:30" ht="15.5">
      <c r="A39" s="413"/>
      <c r="B39" s="413"/>
      <c r="C39" s="396" t="s">
        <v>51</v>
      </c>
      <c r="D39" s="396" t="s">
        <v>51</v>
      </c>
      <c r="E39" s="413"/>
      <c r="F39" s="400" t="s">
        <v>52</v>
      </c>
      <c r="G39" s="414">
        <v>0</v>
      </c>
      <c r="H39" s="428">
        <v>0</v>
      </c>
      <c r="I39" s="403"/>
      <c r="J39" s="458"/>
      <c r="K39" s="403"/>
      <c r="L39" s="403"/>
      <c r="M39" s="403"/>
      <c r="N39" s="403"/>
      <c r="O39" s="403"/>
      <c r="P39" s="403"/>
      <c r="Q39" s="403"/>
      <c r="R39" s="403"/>
      <c r="S39" s="403"/>
      <c r="T39" s="403"/>
      <c r="U39" s="403"/>
      <c r="V39" s="403"/>
      <c r="W39" s="403"/>
      <c r="X39" s="403"/>
      <c r="Y39" s="403"/>
      <c r="Z39" s="403"/>
      <c r="AA39" s="403"/>
      <c r="AB39" s="403"/>
      <c r="AC39" s="403"/>
      <c r="AD39" s="403"/>
    </row>
    <row r="40" spans="1:30" ht="15.5">
      <c r="A40" s="396"/>
      <c r="B40" s="396"/>
      <c r="C40" s="396"/>
      <c r="D40" s="396"/>
      <c r="E40" s="396"/>
      <c r="F40" s="400"/>
      <c r="G40" s="414"/>
      <c r="H40" s="400"/>
      <c r="I40" s="403"/>
      <c r="J40" s="458"/>
      <c r="K40" s="403"/>
      <c r="L40" s="403"/>
      <c r="M40" s="403"/>
      <c r="N40" s="403"/>
      <c r="O40" s="403"/>
      <c r="P40" s="403"/>
      <c r="Q40" s="403"/>
      <c r="R40" s="403"/>
      <c r="S40" s="403"/>
      <c r="T40" s="403"/>
      <c r="U40" s="403"/>
      <c r="V40" s="403"/>
      <c r="W40" s="403"/>
      <c r="X40" s="403"/>
      <c r="Y40" s="403"/>
      <c r="Z40" s="403"/>
      <c r="AA40" s="403"/>
      <c r="AB40" s="403"/>
      <c r="AC40" s="403"/>
      <c r="AD40" s="403"/>
    </row>
    <row r="41" spans="1:30" ht="15.5">
      <c r="A41" s="410"/>
      <c r="B41" s="404" t="s">
        <v>56</v>
      </c>
      <c r="C41" s="404" t="s">
        <v>47</v>
      </c>
      <c r="D41" s="404" t="s">
        <v>47</v>
      </c>
      <c r="E41" s="410"/>
      <c r="F41" s="405" t="s">
        <v>21</v>
      </c>
      <c r="G41" s="411">
        <v>0</v>
      </c>
      <c r="H41" s="407">
        <f>G41/$G$9</f>
        <v>0</v>
      </c>
      <c r="I41" s="412"/>
      <c r="J41" s="460"/>
      <c r="K41" s="412"/>
      <c r="L41" s="412"/>
      <c r="M41" s="412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</row>
    <row r="42" spans="1:30" ht="15.5">
      <c r="A42" s="413"/>
      <c r="B42" s="413"/>
      <c r="C42" s="396"/>
      <c r="D42" s="396"/>
      <c r="E42" s="413"/>
      <c r="F42" s="400"/>
      <c r="G42" s="414"/>
      <c r="H42" s="428"/>
      <c r="I42" s="403"/>
      <c r="J42" s="458"/>
      <c r="K42" s="403"/>
      <c r="L42" s="403"/>
      <c r="M42" s="403"/>
      <c r="N42" s="403"/>
      <c r="O42" s="403"/>
      <c r="P42" s="403"/>
      <c r="Q42" s="403"/>
      <c r="R42" s="403"/>
      <c r="S42" s="403"/>
      <c r="T42" s="403"/>
      <c r="U42" s="403"/>
      <c r="V42" s="403"/>
      <c r="W42" s="403"/>
      <c r="X42" s="403"/>
      <c r="Y42" s="403"/>
      <c r="Z42" s="403"/>
      <c r="AA42" s="403"/>
      <c r="AB42" s="403"/>
      <c r="AC42" s="403"/>
      <c r="AD42" s="403"/>
    </row>
    <row r="43" spans="1:30" ht="15.5">
      <c r="A43" s="413"/>
      <c r="B43" s="413"/>
      <c r="C43" s="396" t="s">
        <v>47</v>
      </c>
      <c r="D43" s="396" t="s">
        <v>46</v>
      </c>
      <c r="E43" s="413"/>
      <c r="F43" s="400" t="s">
        <v>48</v>
      </c>
      <c r="G43" s="414">
        <v>0</v>
      </c>
      <c r="H43" s="428">
        <v>0</v>
      </c>
      <c r="I43" s="403"/>
      <c r="J43" s="458"/>
      <c r="K43" s="403"/>
      <c r="L43" s="403"/>
      <c r="M43" s="403"/>
      <c r="N43" s="403"/>
      <c r="O43" s="403"/>
      <c r="P43" s="403"/>
      <c r="Q43" s="403"/>
      <c r="R43" s="403"/>
      <c r="S43" s="403"/>
      <c r="T43" s="403"/>
      <c r="U43" s="403"/>
      <c r="V43" s="403"/>
      <c r="W43" s="403"/>
      <c r="X43" s="403"/>
      <c r="Y43" s="403"/>
      <c r="Z43" s="403"/>
      <c r="AA43" s="403"/>
      <c r="AB43" s="403"/>
      <c r="AC43" s="403"/>
      <c r="AD43" s="403"/>
    </row>
    <row r="44" spans="1:30" ht="15.5">
      <c r="A44" s="413"/>
      <c r="B44" s="413"/>
      <c r="C44" s="396"/>
      <c r="D44" s="396"/>
      <c r="E44" s="413"/>
      <c r="F44" s="400"/>
      <c r="G44" s="414"/>
      <c r="H44" s="428"/>
      <c r="I44" s="403"/>
      <c r="J44" s="458"/>
      <c r="K44" s="403"/>
      <c r="L44" s="403"/>
      <c r="M44" s="403"/>
      <c r="N44" s="403"/>
      <c r="O44" s="403"/>
      <c r="P44" s="403"/>
      <c r="Q44" s="403"/>
      <c r="R44" s="403"/>
      <c r="S44" s="403"/>
      <c r="T44" s="403"/>
      <c r="U44" s="403"/>
      <c r="V44" s="403"/>
      <c r="W44" s="403"/>
      <c r="X44" s="403"/>
      <c r="Y44" s="403"/>
      <c r="Z44" s="403"/>
      <c r="AA44" s="403"/>
      <c r="AB44" s="403"/>
      <c r="AC44" s="403"/>
      <c r="AD44" s="403"/>
    </row>
    <row r="45" spans="1:30" ht="15.5">
      <c r="A45" s="413"/>
      <c r="B45" s="413"/>
      <c r="C45" s="396" t="s">
        <v>46</v>
      </c>
      <c r="D45" s="396" t="s">
        <v>47</v>
      </c>
      <c r="E45" s="413"/>
      <c r="F45" s="400" t="s">
        <v>57</v>
      </c>
      <c r="G45" s="414">
        <v>0</v>
      </c>
      <c r="H45" s="428">
        <v>0</v>
      </c>
      <c r="I45" s="403"/>
      <c r="J45" s="458"/>
      <c r="K45" s="403"/>
      <c r="L45" s="403"/>
      <c r="M45" s="403"/>
      <c r="N45" s="403"/>
      <c r="O45" s="403"/>
      <c r="P45" s="403"/>
      <c r="Q45" s="403"/>
      <c r="R45" s="403"/>
      <c r="S45" s="403"/>
      <c r="T45" s="403"/>
      <c r="U45" s="403"/>
      <c r="V45" s="403"/>
      <c r="W45" s="403"/>
      <c r="X45" s="403"/>
      <c r="Y45" s="403"/>
      <c r="Z45" s="403"/>
      <c r="AA45" s="403"/>
      <c r="AB45" s="403"/>
      <c r="AC45" s="403"/>
      <c r="AD45" s="403"/>
    </row>
    <row r="46" spans="1:30" ht="18.75" customHeight="1">
      <c r="A46" s="413"/>
      <c r="B46" s="413"/>
      <c r="C46" s="396"/>
      <c r="D46" s="396" t="s">
        <v>46</v>
      </c>
      <c r="E46" s="413"/>
      <c r="F46" s="400" t="s">
        <v>48</v>
      </c>
      <c r="G46" s="414">
        <v>0</v>
      </c>
      <c r="H46" s="428">
        <v>0</v>
      </c>
      <c r="I46" s="403"/>
      <c r="J46" s="458"/>
      <c r="K46" s="403"/>
      <c r="L46" s="403"/>
      <c r="M46" s="403"/>
      <c r="N46" s="403"/>
      <c r="O46" s="403"/>
      <c r="P46" s="403"/>
      <c r="Q46" s="403"/>
      <c r="R46" s="403"/>
      <c r="S46" s="403"/>
      <c r="T46" s="403"/>
      <c r="U46" s="403"/>
      <c r="V46" s="403"/>
      <c r="W46" s="403"/>
      <c r="X46" s="403"/>
      <c r="Y46" s="403"/>
      <c r="Z46" s="403"/>
      <c r="AA46" s="403"/>
      <c r="AB46" s="403"/>
      <c r="AC46" s="403"/>
      <c r="AD46" s="403"/>
    </row>
    <row r="47" spans="1:30" ht="15.5">
      <c r="A47" s="413"/>
      <c r="B47" s="413"/>
      <c r="C47" s="413"/>
      <c r="D47" s="396" t="s">
        <v>49</v>
      </c>
      <c r="E47" s="413"/>
      <c r="F47" s="172" t="s">
        <v>58</v>
      </c>
      <c r="G47" s="414">
        <v>0</v>
      </c>
      <c r="H47" s="428">
        <v>0</v>
      </c>
      <c r="I47" s="403"/>
      <c r="J47" s="458"/>
      <c r="K47" s="403"/>
      <c r="L47" s="403"/>
      <c r="M47" s="403"/>
      <c r="N47" s="403"/>
      <c r="O47" s="403"/>
      <c r="P47" s="403"/>
      <c r="Q47" s="403"/>
      <c r="R47" s="403"/>
      <c r="S47" s="403"/>
      <c r="T47" s="403"/>
      <c r="U47" s="403"/>
      <c r="V47" s="403"/>
      <c r="W47" s="403"/>
      <c r="X47" s="403"/>
      <c r="Y47" s="417"/>
      <c r="Z47" s="431"/>
      <c r="AA47" s="432"/>
      <c r="AB47" s="403"/>
      <c r="AC47" s="403"/>
      <c r="AD47" s="403"/>
    </row>
    <row r="48" spans="1:30" ht="15.5">
      <c r="A48" s="413"/>
      <c r="B48" s="413"/>
      <c r="C48" s="413"/>
      <c r="D48" s="396" t="s">
        <v>53</v>
      </c>
      <c r="E48" s="413"/>
      <c r="F48" s="172" t="s">
        <v>59</v>
      </c>
      <c r="G48" s="414">
        <v>0</v>
      </c>
      <c r="H48" s="428">
        <v>0</v>
      </c>
      <c r="I48" s="403"/>
      <c r="J48" s="458"/>
      <c r="K48" s="403"/>
      <c r="L48" s="403"/>
      <c r="M48" s="403"/>
      <c r="N48" s="403"/>
      <c r="O48" s="403"/>
      <c r="P48" s="403"/>
      <c r="Q48" s="403"/>
      <c r="R48" s="403"/>
      <c r="S48" s="403"/>
      <c r="T48" s="403"/>
      <c r="U48" s="403"/>
      <c r="V48" s="403"/>
      <c r="W48" s="403"/>
      <c r="X48" s="403"/>
      <c r="Y48" s="403"/>
      <c r="Z48" s="431"/>
      <c r="AA48" s="432"/>
      <c r="AB48" s="403"/>
      <c r="AC48" s="431"/>
      <c r="AD48" s="403"/>
    </row>
    <row r="49" spans="1:30" ht="15.5">
      <c r="A49" s="413"/>
      <c r="B49" s="413"/>
      <c r="C49" s="413"/>
      <c r="D49" s="396" t="s">
        <v>54</v>
      </c>
      <c r="E49" s="413"/>
      <c r="F49" s="172" t="s">
        <v>60</v>
      </c>
      <c r="G49" s="414">
        <v>0</v>
      </c>
      <c r="H49" s="428">
        <v>0</v>
      </c>
      <c r="I49" s="403"/>
      <c r="J49" s="458"/>
      <c r="K49" s="403"/>
      <c r="L49" s="403"/>
      <c r="M49" s="403"/>
      <c r="N49" s="403"/>
      <c r="O49" s="403"/>
      <c r="P49" s="403"/>
      <c r="Q49" s="403"/>
      <c r="R49" s="403"/>
      <c r="S49" s="403"/>
      <c r="T49" s="403"/>
      <c r="U49" s="403"/>
      <c r="V49" s="403"/>
      <c r="W49" s="403"/>
      <c r="X49" s="403"/>
      <c r="Y49" s="403"/>
      <c r="Z49" s="431"/>
      <c r="AA49" s="432"/>
      <c r="AB49" s="403"/>
      <c r="AC49" s="431"/>
      <c r="AD49" s="403"/>
    </row>
    <row r="50" spans="1:30" ht="15.5">
      <c r="A50" s="413"/>
      <c r="B50" s="413"/>
      <c r="C50" s="413"/>
      <c r="D50" s="396" t="s">
        <v>56</v>
      </c>
      <c r="E50" s="413"/>
      <c r="F50" s="172" t="s">
        <v>61</v>
      </c>
      <c r="G50" s="414">
        <v>0</v>
      </c>
      <c r="H50" s="428">
        <v>0</v>
      </c>
      <c r="I50" s="403"/>
      <c r="J50" s="458"/>
      <c r="K50" s="403"/>
      <c r="L50" s="403"/>
      <c r="M50" s="403"/>
      <c r="N50" s="403"/>
      <c r="O50" s="403"/>
      <c r="P50" s="403"/>
      <c r="Q50" s="403"/>
      <c r="R50" s="403"/>
      <c r="S50" s="403"/>
      <c r="T50" s="403"/>
      <c r="U50" s="403"/>
      <c r="V50" s="403"/>
      <c r="W50" s="403"/>
      <c r="X50" s="403"/>
      <c r="Y50" s="403"/>
      <c r="Z50" s="431"/>
      <c r="AA50" s="432"/>
      <c r="AB50" s="403"/>
      <c r="AC50" s="431"/>
      <c r="AD50" s="403"/>
    </row>
    <row r="51" spans="1:30" ht="15.5">
      <c r="A51" s="413"/>
      <c r="B51" s="413"/>
      <c r="C51" s="413"/>
      <c r="D51" s="396" t="s">
        <v>62</v>
      </c>
      <c r="E51" s="413"/>
      <c r="F51" s="172" t="s">
        <v>63</v>
      </c>
      <c r="G51" s="414">
        <v>0</v>
      </c>
      <c r="H51" s="428">
        <v>0</v>
      </c>
      <c r="I51" s="403"/>
      <c r="J51" s="458"/>
      <c r="K51" s="403"/>
      <c r="L51" s="403"/>
      <c r="M51" s="403"/>
      <c r="N51" s="403"/>
      <c r="O51" s="403"/>
      <c r="P51" s="403"/>
      <c r="Q51" s="403"/>
      <c r="R51" s="403"/>
      <c r="S51" s="403"/>
      <c r="T51" s="403"/>
      <c r="U51" s="403"/>
      <c r="V51" s="403"/>
      <c r="W51" s="403"/>
      <c r="X51" s="403"/>
      <c r="Y51" s="403"/>
      <c r="Z51" s="431"/>
      <c r="AA51" s="432"/>
      <c r="AB51" s="403"/>
      <c r="AC51" s="431"/>
      <c r="AD51" s="403"/>
    </row>
    <row r="52" spans="1:30" ht="15.5">
      <c r="A52" s="413"/>
      <c r="B52" s="413"/>
      <c r="C52" s="396"/>
      <c r="D52" s="396"/>
      <c r="E52" s="413"/>
      <c r="F52" s="400"/>
      <c r="G52" s="414"/>
      <c r="H52" s="428"/>
      <c r="I52" s="403"/>
      <c r="J52" s="458"/>
      <c r="K52" s="403"/>
      <c r="L52" s="403"/>
      <c r="M52" s="403"/>
      <c r="N52" s="403"/>
      <c r="O52" s="403"/>
      <c r="P52" s="403"/>
      <c r="Q52" s="403"/>
      <c r="R52" s="403"/>
      <c r="S52" s="403"/>
      <c r="T52" s="403"/>
      <c r="U52" s="403"/>
      <c r="V52" s="403"/>
      <c r="W52" s="403"/>
      <c r="X52" s="403"/>
      <c r="Y52" s="403"/>
      <c r="Z52" s="431"/>
      <c r="AA52" s="432"/>
      <c r="AB52" s="403"/>
      <c r="AC52" s="431"/>
      <c r="AD52" s="403"/>
    </row>
    <row r="53" spans="1:30" ht="15.5">
      <c r="A53" s="413"/>
      <c r="B53" s="413"/>
      <c r="C53" s="396" t="s">
        <v>49</v>
      </c>
      <c r="D53" s="396" t="s">
        <v>47</v>
      </c>
      <c r="E53" s="413"/>
      <c r="F53" s="400" t="s">
        <v>64</v>
      </c>
      <c r="G53" s="414">
        <v>0</v>
      </c>
      <c r="H53" s="428">
        <v>0</v>
      </c>
      <c r="I53" s="403"/>
      <c r="J53" s="458"/>
      <c r="K53" s="403"/>
      <c r="L53" s="403"/>
      <c r="M53" s="403"/>
      <c r="N53" s="403"/>
      <c r="O53" s="403"/>
      <c r="P53" s="403"/>
      <c r="Q53" s="403"/>
      <c r="R53" s="403"/>
      <c r="S53" s="403"/>
      <c r="T53" s="403"/>
      <c r="U53" s="403"/>
      <c r="V53" s="403"/>
      <c r="W53" s="403"/>
      <c r="X53" s="403"/>
      <c r="Y53" s="403"/>
      <c r="Z53" s="431"/>
      <c r="AA53" s="432"/>
      <c r="AB53" s="403"/>
      <c r="AC53" s="431"/>
      <c r="AD53" s="403"/>
    </row>
    <row r="54" spans="1:30" ht="15.5">
      <c r="A54" s="413"/>
      <c r="B54" s="413"/>
      <c r="C54" s="413"/>
      <c r="D54" s="396" t="s">
        <v>46</v>
      </c>
      <c r="E54" s="413"/>
      <c r="F54" s="400" t="s">
        <v>48</v>
      </c>
      <c r="G54" s="414">
        <v>0</v>
      </c>
      <c r="H54" s="428">
        <v>0</v>
      </c>
      <c r="I54" s="403"/>
      <c r="J54" s="458"/>
      <c r="K54" s="403"/>
      <c r="L54" s="403"/>
      <c r="M54" s="403"/>
      <c r="N54" s="403"/>
      <c r="O54" s="403"/>
      <c r="P54" s="403"/>
      <c r="Q54" s="403"/>
      <c r="R54" s="403"/>
      <c r="S54" s="403"/>
      <c r="T54" s="403"/>
      <c r="U54" s="403"/>
      <c r="V54" s="403"/>
      <c r="W54" s="403"/>
      <c r="X54" s="403"/>
      <c r="Y54" s="403"/>
      <c r="Z54" s="431"/>
      <c r="AA54" s="432"/>
      <c r="AB54" s="403"/>
      <c r="AC54" s="431"/>
      <c r="AD54" s="403"/>
    </row>
    <row r="55" spans="1:30" ht="15.5">
      <c r="A55" s="413"/>
      <c r="B55" s="413"/>
      <c r="C55" s="413"/>
      <c r="D55" s="396" t="s">
        <v>49</v>
      </c>
      <c r="E55" s="413"/>
      <c r="F55" s="172" t="s">
        <v>65</v>
      </c>
      <c r="G55" s="414">
        <v>0</v>
      </c>
      <c r="H55" s="428">
        <v>0</v>
      </c>
      <c r="I55" s="403"/>
      <c r="J55" s="458"/>
      <c r="K55" s="403"/>
      <c r="L55" s="403"/>
      <c r="M55" s="403"/>
      <c r="N55" s="403"/>
      <c r="O55" s="403"/>
      <c r="P55" s="403"/>
      <c r="Q55" s="403"/>
      <c r="R55" s="403"/>
      <c r="S55" s="403"/>
      <c r="T55" s="403"/>
      <c r="U55" s="403"/>
      <c r="V55" s="403"/>
      <c r="W55" s="403"/>
      <c r="X55" s="403"/>
      <c r="Y55" s="403"/>
      <c r="Z55" s="431"/>
      <c r="AA55" s="432"/>
      <c r="AB55" s="403"/>
      <c r="AC55" s="431"/>
      <c r="AD55" s="403"/>
    </row>
    <row r="56" spans="1:30" ht="15.5">
      <c r="A56" s="413"/>
      <c r="B56" s="413"/>
      <c r="C56" s="413"/>
      <c r="D56" s="413"/>
      <c r="E56" s="413"/>
      <c r="F56" s="400"/>
      <c r="G56" s="409"/>
      <c r="H56" s="415"/>
      <c r="I56" s="403"/>
      <c r="J56" s="458"/>
      <c r="K56" s="403"/>
      <c r="L56" s="403"/>
      <c r="M56" s="403"/>
      <c r="N56" s="403"/>
      <c r="O56" s="403"/>
      <c r="P56" s="403"/>
      <c r="Q56" s="403"/>
      <c r="R56" s="403"/>
      <c r="S56" s="403"/>
      <c r="T56" s="403"/>
      <c r="U56" s="403"/>
      <c r="V56" s="403"/>
      <c r="W56" s="403"/>
      <c r="X56" s="403"/>
      <c r="Y56" s="403"/>
      <c r="Z56" s="433"/>
      <c r="AA56" s="432"/>
      <c r="AB56" s="403"/>
      <c r="AC56" s="403"/>
      <c r="AD56" s="403"/>
    </row>
    <row r="57" spans="1:30" ht="15.5">
      <c r="A57" s="413"/>
      <c r="B57" s="413"/>
      <c r="C57" s="396" t="s">
        <v>53</v>
      </c>
      <c r="D57" s="396" t="s">
        <v>47</v>
      </c>
      <c r="E57" s="413"/>
      <c r="F57" s="400" t="s">
        <v>67</v>
      </c>
      <c r="G57" s="414">
        <v>0</v>
      </c>
      <c r="H57" s="428">
        <v>0</v>
      </c>
      <c r="I57" s="403"/>
      <c r="J57" s="458"/>
      <c r="K57" s="403"/>
      <c r="L57" s="403"/>
      <c r="M57" s="403"/>
      <c r="N57" s="403"/>
      <c r="O57" s="403"/>
      <c r="P57" s="403"/>
      <c r="Q57" s="403"/>
      <c r="R57" s="403"/>
      <c r="S57" s="403"/>
      <c r="T57" s="403"/>
      <c r="U57" s="403"/>
      <c r="V57" s="403"/>
      <c r="W57" s="403"/>
      <c r="X57" s="403"/>
      <c r="Y57" s="403"/>
      <c r="Z57" s="431"/>
      <c r="AA57" s="432"/>
      <c r="AB57" s="403"/>
      <c r="AC57" s="403"/>
      <c r="AD57" s="403"/>
    </row>
    <row r="58" spans="1:30" ht="15.5">
      <c r="A58" s="413"/>
      <c r="B58" s="413"/>
      <c r="C58" s="413"/>
      <c r="D58" s="396" t="s">
        <v>46</v>
      </c>
      <c r="E58" s="413"/>
      <c r="F58" s="400" t="s">
        <v>48</v>
      </c>
      <c r="G58" s="414">
        <v>0</v>
      </c>
      <c r="H58" s="428">
        <v>0</v>
      </c>
      <c r="I58" s="403"/>
      <c r="J58" s="458"/>
      <c r="K58" s="403"/>
      <c r="L58" s="403"/>
      <c r="M58" s="403"/>
      <c r="N58" s="403"/>
      <c r="O58" s="403"/>
      <c r="P58" s="403"/>
      <c r="Q58" s="403"/>
      <c r="R58" s="403"/>
      <c r="S58" s="403"/>
      <c r="T58" s="403"/>
      <c r="U58" s="403"/>
      <c r="V58" s="403"/>
      <c r="W58" s="403"/>
      <c r="X58" s="403"/>
      <c r="Y58" s="403"/>
      <c r="Z58" s="431"/>
      <c r="AA58" s="432"/>
      <c r="AB58" s="403"/>
      <c r="AC58" s="403"/>
      <c r="AD58" s="403"/>
    </row>
    <row r="59" spans="1:30" ht="15.5">
      <c r="A59" s="413"/>
      <c r="B59" s="413"/>
      <c r="C59" s="413"/>
      <c r="D59" s="396" t="s">
        <v>49</v>
      </c>
      <c r="E59" s="413"/>
      <c r="F59" s="173" t="s">
        <v>68</v>
      </c>
      <c r="G59" s="414">
        <v>0</v>
      </c>
      <c r="H59" s="428">
        <v>0</v>
      </c>
      <c r="I59" s="403"/>
      <c r="J59" s="458"/>
      <c r="K59" s="403"/>
      <c r="L59" s="403"/>
      <c r="M59" s="403"/>
      <c r="N59" s="403"/>
      <c r="O59" s="403"/>
      <c r="P59" s="403"/>
      <c r="Q59" s="403"/>
      <c r="R59" s="403"/>
      <c r="S59" s="403"/>
      <c r="T59" s="403"/>
      <c r="U59" s="403"/>
      <c r="V59" s="403"/>
      <c r="W59" s="403"/>
      <c r="X59" s="403"/>
      <c r="Y59" s="403"/>
      <c r="Z59" s="431"/>
      <c r="AA59" s="432"/>
      <c r="AB59" s="403"/>
      <c r="AC59" s="403"/>
      <c r="AD59" s="403"/>
    </row>
    <row r="60" spans="1:30" ht="15.5">
      <c r="A60" s="413"/>
      <c r="B60" s="413"/>
      <c r="C60" s="413"/>
      <c r="D60" s="396" t="s">
        <v>53</v>
      </c>
      <c r="E60" s="413"/>
      <c r="F60" s="172" t="s">
        <v>66</v>
      </c>
      <c r="G60" s="414">
        <v>0</v>
      </c>
      <c r="H60" s="428">
        <v>0</v>
      </c>
      <c r="I60" s="403"/>
      <c r="J60" s="458"/>
      <c r="K60" s="403"/>
      <c r="L60" s="403"/>
      <c r="M60" s="403"/>
      <c r="N60" s="403"/>
      <c r="O60" s="403"/>
      <c r="P60" s="403"/>
      <c r="Q60" s="403"/>
      <c r="R60" s="403"/>
      <c r="S60" s="403"/>
      <c r="T60" s="403"/>
      <c r="U60" s="403"/>
      <c r="V60" s="403"/>
      <c r="W60" s="403"/>
      <c r="X60" s="403"/>
      <c r="Y60" s="403"/>
      <c r="Z60" s="403"/>
      <c r="AA60" s="403"/>
      <c r="AB60" s="403"/>
      <c r="AC60" s="403"/>
      <c r="AD60" s="403"/>
    </row>
    <row r="61" spans="1:30" ht="15.5">
      <c r="A61" s="413"/>
      <c r="B61" s="413"/>
      <c r="C61" s="413"/>
      <c r="D61" s="396"/>
      <c r="E61" s="413"/>
      <c r="F61" s="172"/>
      <c r="G61" s="414"/>
      <c r="H61" s="428"/>
      <c r="I61" s="403"/>
      <c r="J61" s="458"/>
      <c r="K61" s="403"/>
      <c r="L61" s="403"/>
      <c r="M61" s="403"/>
      <c r="N61" s="403"/>
      <c r="O61" s="403"/>
      <c r="P61" s="403"/>
      <c r="Q61" s="403"/>
      <c r="R61" s="403"/>
      <c r="S61" s="403"/>
      <c r="T61" s="403"/>
      <c r="U61" s="403"/>
      <c r="V61" s="403"/>
      <c r="W61" s="403"/>
      <c r="X61" s="403"/>
      <c r="Y61" s="403"/>
      <c r="Z61" s="403"/>
      <c r="AA61" s="403"/>
      <c r="AB61" s="403"/>
      <c r="AC61" s="403"/>
      <c r="AD61" s="403"/>
    </row>
    <row r="62" spans="1:30" ht="15.5">
      <c r="A62" s="413"/>
      <c r="B62" s="413"/>
      <c r="C62" s="396" t="s">
        <v>54</v>
      </c>
      <c r="D62" s="396" t="s">
        <v>47</v>
      </c>
      <c r="E62" s="413"/>
      <c r="F62" s="400" t="s">
        <v>69</v>
      </c>
      <c r="G62" s="414">
        <v>0</v>
      </c>
      <c r="H62" s="428">
        <v>0</v>
      </c>
      <c r="I62" s="403"/>
      <c r="J62" s="458"/>
      <c r="K62" s="403"/>
      <c r="L62" s="403"/>
      <c r="M62" s="403"/>
      <c r="N62" s="403"/>
      <c r="O62" s="403"/>
      <c r="P62" s="403"/>
      <c r="Q62" s="403"/>
      <c r="R62" s="403"/>
      <c r="S62" s="403"/>
      <c r="T62" s="403"/>
      <c r="U62" s="403"/>
      <c r="V62" s="403"/>
      <c r="W62" s="403"/>
      <c r="X62" s="403"/>
      <c r="Y62" s="403"/>
      <c r="Z62" s="403"/>
      <c r="AA62" s="403"/>
      <c r="AB62" s="403"/>
      <c r="AC62" s="403"/>
      <c r="AD62" s="403"/>
    </row>
    <row r="63" spans="1:30" ht="15.5">
      <c r="A63" s="413"/>
      <c r="B63" s="413"/>
      <c r="C63" s="396"/>
      <c r="D63" s="396" t="s">
        <v>46</v>
      </c>
      <c r="E63" s="413"/>
      <c r="F63" s="400" t="s">
        <v>48</v>
      </c>
      <c r="G63" s="414">
        <v>0</v>
      </c>
      <c r="H63" s="428">
        <v>0</v>
      </c>
      <c r="I63" s="403"/>
      <c r="J63" s="458"/>
      <c r="K63" s="403"/>
      <c r="L63" s="403"/>
      <c r="M63" s="403"/>
      <c r="N63" s="403"/>
      <c r="O63" s="403"/>
      <c r="P63" s="403"/>
      <c r="Q63" s="403"/>
      <c r="R63" s="403"/>
      <c r="S63" s="403"/>
      <c r="T63" s="403"/>
      <c r="U63" s="403"/>
      <c r="V63" s="403"/>
      <c r="W63" s="403"/>
      <c r="X63" s="403"/>
      <c r="Y63" s="403"/>
      <c r="Z63" s="403"/>
      <c r="AA63" s="403"/>
      <c r="AB63" s="403"/>
      <c r="AC63" s="403"/>
      <c r="AD63" s="403"/>
    </row>
    <row r="64" spans="1:30" ht="15.5">
      <c r="A64" s="413"/>
      <c r="B64" s="413"/>
      <c r="C64" s="413"/>
      <c r="D64" s="396" t="s">
        <v>49</v>
      </c>
      <c r="E64" s="413"/>
      <c r="F64" s="172" t="s">
        <v>70</v>
      </c>
      <c r="G64" s="414">
        <v>0</v>
      </c>
      <c r="H64" s="428">
        <v>0</v>
      </c>
      <c r="I64" s="403"/>
      <c r="J64" s="458"/>
      <c r="K64" s="403"/>
      <c r="L64" s="403"/>
      <c r="M64" s="403"/>
      <c r="N64" s="403"/>
      <c r="O64" s="403"/>
      <c r="P64" s="403"/>
      <c r="Q64" s="403"/>
      <c r="R64" s="403"/>
      <c r="S64" s="403"/>
      <c r="T64" s="403"/>
      <c r="U64" s="403"/>
      <c r="V64" s="403"/>
      <c r="W64" s="403"/>
      <c r="X64" s="403"/>
      <c r="Y64" s="403"/>
      <c r="Z64" s="403"/>
      <c r="AA64" s="403"/>
      <c r="AB64" s="403"/>
      <c r="AC64" s="403"/>
      <c r="AD64" s="403"/>
    </row>
    <row r="65" spans="1:30" ht="15.5">
      <c r="A65" s="413"/>
      <c r="B65" s="413"/>
      <c r="C65" s="413"/>
      <c r="D65" s="396" t="s">
        <v>53</v>
      </c>
      <c r="E65" s="413"/>
      <c r="F65" s="172" t="s">
        <v>71</v>
      </c>
      <c r="G65" s="414">
        <v>0</v>
      </c>
      <c r="H65" s="428">
        <v>0</v>
      </c>
      <c r="I65" s="403"/>
      <c r="J65" s="458"/>
      <c r="K65" s="403"/>
      <c r="L65" s="403"/>
      <c r="M65" s="403"/>
      <c r="N65" s="403"/>
      <c r="O65" s="403"/>
      <c r="P65" s="403"/>
      <c r="Q65" s="403"/>
      <c r="R65" s="403"/>
      <c r="S65" s="403"/>
      <c r="T65" s="403"/>
      <c r="U65" s="403"/>
      <c r="V65" s="403"/>
      <c r="W65" s="403"/>
      <c r="X65" s="403"/>
      <c r="Y65" s="403"/>
      <c r="Z65" s="403"/>
      <c r="AA65" s="403"/>
      <c r="AB65" s="403"/>
      <c r="AC65" s="403"/>
      <c r="AD65" s="403"/>
    </row>
    <row r="66" spans="1:30" ht="15.5">
      <c r="A66" s="413"/>
      <c r="B66" s="413"/>
      <c r="C66" s="413"/>
      <c r="D66" s="396" t="s">
        <v>54</v>
      </c>
      <c r="E66" s="413"/>
      <c r="F66" s="172" t="s">
        <v>72</v>
      </c>
      <c r="G66" s="414">
        <v>0</v>
      </c>
      <c r="H66" s="428">
        <v>0</v>
      </c>
      <c r="I66" s="403"/>
      <c r="J66" s="458"/>
      <c r="K66" s="403"/>
      <c r="L66" s="403"/>
      <c r="M66" s="403"/>
      <c r="N66" s="403"/>
      <c r="O66" s="403"/>
      <c r="P66" s="403"/>
      <c r="Q66" s="403"/>
      <c r="R66" s="403"/>
      <c r="S66" s="403"/>
      <c r="T66" s="403"/>
      <c r="U66" s="403"/>
      <c r="V66" s="403"/>
      <c r="W66" s="403"/>
      <c r="X66" s="403"/>
      <c r="Y66" s="403"/>
      <c r="Z66" s="403"/>
      <c r="AA66" s="403"/>
      <c r="AB66" s="403"/>
      <c r="AC66" s="403"/>
      <c r="AD66" s="403"/>
    </row>
    <row r="67" spans="1:30" ht="15.5">
      <c r="A67" s="413"/>
      <c r="B67" s="413"/>
      <c r="C67" s="413"/>
      <c r="D67" s="396" t="s">
        <v>56</v>
      </c>
      <c r="E67" s="413"/>
      <c r="F67" s="172" t="s">
        <v>73</v>
      </c>
      <c r="G67" s="414">
        <v>0</v>
      </c>
      <c r="H67" s="428">
        <v>0</v>
      </c>
      <c r="I67" s="403"/>
      <c r="J67" s="458"/>
      <c r="K67" s="403"/>
      <c r="L67" s="403"/>
      <c r="M67" s="403"/>
      <c r="N67" s="403"/>
      <c r="O67" s="403"/>
      <c r="P67" s="403"/>
      <c r="Q67" s="403"/>
      <c r="R67" s="403"/>
      <c r="S67" s="403"/>
      <c r="T67" s="403"/>
      <c r="U67" s="403"/>
      <c r="V67" s="403"/>
      <c r="W67" s="403"/>
      <c r="X67" s="403"/>
      <c r="Y67" s="403"/>
      <c r="Z67" s="403"/>
      <c r="AA67" s="403"/>
      <c r="AB67" s="403"/>
      <c r="AC67" s="403"/>
      <c r="AD67" s="403"/>
    </row>
    <row r="68" spans="1:30" ht="15.5">
      <c r="A68" s="413"/>
      <c r="B68" s="413"/>
      <c r="C68" s="413"/>
      <c r="D68" s="396"/>
      <c r="E68" s="413"/>
      <c r="F68" s="172"/>
      <c r="G68" s="414"/>
      <c r="H68" s="428"/>
      <c r="I68" s="403"/>
      <c r="J68" s="458"/>
      <c r="K68" s="403"/>
      <c r="L68" s="403"/>
      <c r="M68" s="403"/>
      <c r="N68" s="403"/>
      <c r="O68" s="403"/>
      <c r="P68" s="403"/>
      <c r="Q68" s="403"/>
      <c r="R68" s="403"/>
      <c r="S68" s="403"/>
      <c r="T68" s="403"/>
      <c r="U68" s="403"/>
      <c r="V68" s="403"/>
      <c r="W68" s="403"/>
      <c r="X68" s="403"/>
      <c r="Y68" s="403"/>
      <c r="Z68" s="403"/>
      <c r="AA68" s="403"/>
      <c r="AB68" s="403"/>
      <c r="AC68" s="403"/>
      <c r="AD68" s="403"/>
    </row>
    <row r="69" spans="1:30" ht="15.5">
      <c r="A69" s="413"/>
      <c r="B69" s="413"/>
      <c r="C69" s="396" t="s">
        <v>51</v>
      </c>
      <c r="D69" s="396" t="s">
        <v>51</v>
      </c>
      <c r="E69" s="413"/>
      <c r="F69" s="400" t="s">
        <v>52</v>
      </c>
      <c r="G69" s="414">
        <v>0</v>
      </c>
      <c r="H69" s="428">
        <v>0</v>
      </c>
      <c r="I69" s="403"/>
      <c r="J69" s="458"/>
      <c r="K69" s="403"/>
      <c r="L69" s="403"/>
      <c r="M69" s="403"/>
      <c r="N69" s="403"/>
      <c r="O69" s="403"/>
      <c r="P69" s="403"/>
      <c r="Q69" s="403"/>
      <c r="R69" s="403"/>
      <c r="S69" s="403"/>
      <c r="T69" s="403"/>
      <c r="U69" s="403"/>
      <c r="V69" s="403"/>
      <c r="W69" s="403"/>
      <c r="X69" s="403"/>
      <c r="Y69" s="403"/>
      <c r="Z69" s="403"/>
      <c r="AA69" s="403"/>
      <c r="AB69" s="403"/>
      <c r="AC69" s="403"/>
      <c r="AD69" s="403"/>
    </row>
    <row r="70" spans="1:30" ht="15.5">
      <c r="A70" s="396"/>
      <c r="B70" s="396"/>
      <c r="C70" s="396"/>
      <c r="D70" s="396"/>
      <c r="E70" s="396"/>
      <c r="F70" s="400"/>
      <c r="G70" s="414"/>
      <c r="H70" s="400"/>
      <c r="I70" s="403"/>
      <c r="J70" s="458"/>
      <c r="K70" s="403"/>
      <c r="L70" s="403"/>
      <c r="M70" s="403"/>
      <c r="N70" s="403"/>
      <c r="O70" s="403"/>
      <c r="P70" s="403"/>
      <c r="Q70" s="403"/>
      <c r="R70" s="403"/>
      <c r="S70" s="403"/>
      <c r="T70" s="403"/>
      <c r="U70" s="403"/>
      <c r="V70" s="403"/>
      <c r="W70" s="403"/>
      <c r="X70" s="403"/>
      <c r="Y70" s="403"/>
      <c r="Z70" s="403"/>
      <c r="AA70" s="403"/>
      <c r="AB70" s="403"/>
      <c r="AC70" s="403"/>
      <c r="AD70" s="403"/>
    </row>
    <row r="71" spans="1:30" ht="15.5">
      <c r="A71" s="410"/>
      <c r="B71" s="404" t="s">
        <v>62</v>
      </c>
      <c r="C71" s="404" t="s">
        <v>47</v>
      </c>
      <c r="D71" s="404" t="s">
        <v>47</v>
      </c>
      <c r="E71" s="410"/>
      <c r="F71" s="405" t="s">
        <v>22</v>
      </c>
      <c r="G71" s="411">
        <v>160000</v>
      </c>
      <c r="H71" s="407">
        <f>G71/$G$9</f>
        <v>6.1735611840427335E-2</v>
      </c>
      <c r="I71" s="412"/>
      <c r="J71" s="460"/>
      <c r="K71" s="412"/>
      <c r="L71" s="412"/>
      <c r="M71" s="412"/>
      <c r="N71" s="412"/>
      <c r="O71" s="412"/>
      <c r="P71" s="412"/>
      <c r="Q71" s="412"/>
      <c r="R71" s="412"/>
      <c r="S71" s="412"/>
      <c r="T71" s="412"/>
      <c r="U71" s="412"/>
      <c r="V71" s="412"/>
      <c r="W71" s="412"/>
      <c r="X71" s="412"/>
      <c r="Y71" s="412"/>
      <c r="Z71" s="412"/>
      <c r="AA71" s="412"/>
      <c r="AB71" s="412"/>
      <c r="AC71" s="412"/>
      <c r="AD71" s="412"/>
    </row>
    <row r="72" spans="1:30" ht="15.5">
      <c r="A72" s="410"/>
      <c r="B72" s="404"/>
      <c r="C72" s="404"/>
      <c r="D72" s="404"/>
      <c r="E72" s="410"/>
      <c r="F72" s="405"/>
      <c r="G72" s="411"/>
      <c r="H72" s="407"/>
      <c r="I72" s="412"/>
      <c r="J72" s="460"/>
      <c r="K72" s="412"/>
      <c r="L72" s="412"/>
      <c r="M72" s="412"/>
      <c r="N72" s="412"/>
      <c r="O72" s="412"/>
      <c r="P72" s="412"/>
      <c r="Q72" s="412"/>
      <c r="R72" s="412"/>
      <c r="S72" s="412"/>
      <c r="T72" s="412"/>
      <c r="U72" s="412"/>
      <c r="V72" s="412"/>
      <c r="W72" s="412"/>
      <c r="X72" s="412"/>
      <c r="Y72" s="412"/>
      <c r="Z72" s="412"/>
      <c r="AA72" s="412"/>
      <c r="AB72" s="412"/>
      <c r="AC72" s="412"/>
      <c r="AD72" s="412"/>
    </row>
    <row r="73" spans="1:30" ht="15.5">
      <c r="A73" s="410"/>
      <c r="B73" s="404"/>
      <c r="C73" s="404"/>
      <c r="D73" s="404"/>
      <c r="E73" s="410"/>
      <c r="F73" s="405"/>
      <c r="G73" s="411"/>
      <c r="H73" s="407"/>
      <c r="I73" s="412"/>
      <c r="J73" s="460"/>
      <c r="K73" s="412"/>
      <c r="L73" s="412"/>
      <c r="M73" s="412"/>
      <c r="N73" s="412"/>
      <c r="O73" s="412"/>
      <c r="P73" s="412"/>
      <c r="Q73" s="412"/>
      <c r="R73" s="412"/>
      <c r="S73" s="412"/>
      <c r="T73" s="412"/>
      <c r="U73" s="412"/>
      <c r="V73" s="412"/>
      <c r="W73" s="412"/>
      <c r="X73" s="412"/>
      <c r="Y73" s="412"/>
      <c r="Z73" s="412"/>
      <c r="AA73" s="412"/>
      <c r="AB73" s="412"/>
      <c r="AC73" s="412"/>
      <c r="AD73" s="412"/>
    </row>
    <row r="74" spans="1:30" ht="15.5">
      <c r="A74" s="413"/>
      <c r="B74" s="413"/>
      <c r="C74" s="396" t="s">
        <v>456</v>
      </c>
      <c r="D74" s="396" t="s">
        <v>454</v>
      </c>
      <c r="E74" s="413"/>
      <c r="F74" s="400" t="s">
        <v>76</v>
      </c>
      <c r="G74" s="414">
        <v>0</v>
      </c>
      <c r="H74" s="428">
        <v>0</v>
      </c>
      <c r="I74" s="403"/>
      <c r="J74" s="458"/>
      <c r="K74" s="403"/>
      <c r="L74" s="403"/>
      <c r="M74" s="403"/>
      <c r="N74" s="403"/>
      <c r="O74" s="403"/>
      <c r="P74" s="403"/>
      <c r="Q74" s="403"/>
      <c r="R74" s="403"/>
      <c r="S74" s="403"/>
      <c r="T74" s="403"/>
      <c r="U74" s="403"/>
      <c r="V74" s="403"/>
      <c r="W74" s="403"/>
      <c r="X74" s="403"/>
      <c r="Y74" s="403"/>
      <c r="Z74" s="403"/>
      <c r="AA74" s="403"/>
      <c r="AB74" s="403"/>
      <c r="AC74" s="403"/>
      <c r="AD74" s="403"/>
    </row>
    <row r="75" spans="1:30" ht="15.5">
      <c r="A75" s="413"/>
      <c r="B75" s="413"/>
      <c r="C75" s="396" t="s">
        <v>47</v>
      </c>
      <c r="D75" s="396" t="s">
        <v>455</v>
      </c>
      <c r="E75" s="413"/>
      <c r="F75" s="400" t="s">
        <v>74</v>
      </c>
      <c r="G75" s="414">
        <v>160000</v>
      </c>
      <c r="H75" s="428">
        <v>1</v>
      </c>
      <c r="I75" s="403"/>
      <c r="J75" s="458"/>
      <c r="K75" s="403"/>
      <c r="L75" s="403"/>
      <c r="M75" s="403"/>
      <c r="N75" s="403"/>
      <c r="O75" s="403"/>
      <c r="P75" s="403"/>
      <c r="Q75" s="403"/>
      <c r="R75" s="403"/>
      <c r="S75" s="403"/>
      <c r="T75" s="403"/>
      <c r="U75" s="403"/>
      <c r="V75" s="403"/>
      <c r="W75" s="403"/>
      <c r="X75" s="403"/>
      <c r="Y75" s="403"/>
      <c r="Z75" s="403"/>
      <c r="AA75" s="403"/>
      <c r="AB75" s="403"/>
      <c r="AC75" s="403"/>
      <c r="AD75" s="403"/>
    </row>
    <row r="76" spans="1:30" ht="16">
      <c r="A76" s="413"/>
      <c r="B76" s="413"/>
      <c r="C76" s="396"/>
      <c r="D76" s="396"/>
      <c r="E76" s="396" t="s">
        <v>108</v>
      </c>
      <c r="F76" s="400" t="s">
        <v>109</v>
      </c>
      <c r="G76" s="414">
        <v>160000</v>
      </c>
      <c r="H76" s="428">
        <v>1</v>
      </c>
      <c r="I76" s="455" t="s">
        <v>110</v>
      </c>
      <c r="J76" s="458"/>
      <c r="K76" s="403"/>
      <c r="L76" s="403"/>
      <c r="M76" s="403"/>
      <c r="N76" s="403"/>
      <c r="O76" s="403"/>
      <c r="P76" s="403"/>
      <c r="Q76" s="403"/>
      <c r="R76" s="403"/>
      <c r="S76" s="403"/>
      <c r="T76" s="403"/>
      <c r="U76" s="403"/>
      <c r="V76" s="403"/>
      <c r="W76" s="403"/>
      <c r="X76" s="403"/>
      <c r="Y76" s="403"/>
      <c r="Z76" s="403"/>
      <c r="AA76" s="403"/>
      <c r="AB76" s="403"/>
      <c r="AC76" s="403"/>
      <c r="AD76" s="403"/>
    </row>
    <row r="77" spans="1:30" ht="16">
      <c r="A77" s="413"/>
      <c r="B77" s="413"/>
      <c r="C77" s="396"/>
      <c r="D77" s="396"/>
      <c r="E77" s="413"/>
      <c r="F77" s="400"/>
      <c r="G77" s="414"/>
      <c r="H77" s="428"/>
      <c r="I77" s="435" t="s">
        <v>111</v>
      </c>
      <c r="J77" s="458"/>
      <c r="K77" s="403"/>
      <c r="L77" s="403"/>
      <c r="M77" s="403"/>
      <c r="N77" s="403"/>
      <c r="O77" s="403"/>
      <c r="P77" s="403"/>
      <c r="Q77" s="403"/>
      <c r="R77" s="403"/>
      <c r="S77" s="403"/>
      <c r="T77" s="403"/>
      <c r="U77" s="403"/>
      <c r="V77" s="403"/>
      <c r="W77" s="403"/>
      <c r="X77" s="403"/>
      <c r="Y77" s="403"/>
      <c r="Z77" s="403"/>
      <c r="AA77" s="403"/>
      <c r="AB77" s="403"/>
      <c r="AC77" s="403"/>
      <c r="AD77" s="403"/>
    </row>
    <row r="78" spans="1:30" ht="16">
      <c r="A78" s="413"/>
      <c r="B78" s="413"/>
      <c r="C78" s="396"/>
      <c r="D78" s="396"/>
      <c r="E78" s="413"/>
      <c r="F78" s="400"/>
      <c r="G78" s="414"/>
      <c r="H78" s="428"/>
      <c r="I78" s="435" t="s">
        <v>112</v>
      </c>
      <c r="J78" s="458"/>
      <c r="K78" s="403"/>
      <c r="L78" s="403"/>
      <c r="M78" s="403"/>
      <c r="N78" s="403"/>
      <c r="O78" s="403"/>
      <c r="P78" s="403"/>
      <c r="Q78" s="403"/>
      <c r="R78" s="403"/>
      <c r="S78" s="403"/>
      <c r="T78" s="403"/>
      <c r="U78" s="403"/>
      <c r="V78" s="403"/>
      <c r="W78" s="403"/>
      <c r="X78" s="403"/>
      <c r="Y78" s="403"/>
      <c r="Z78" s="403"/>
      <c r="AA78" s="403"/>
      <c r="AB78" s="403"/>
      <c r="AC78" s="403"/>
      <c r="AD78" s="403"/>
    </row>
    <row r="79" spans="1:30" ht="16">
      <c r="A79" s="413"/>
      <c r="B79" s="413"/>
      <c r="C79" s="396"/>
      <c r="D79" s="396"/>
      <c r="E79" s="413"/>
      <c r="F79" s="400"/>
      <c r="G79" s="414"/>
      <c r="H79" s="428"/>
      <c r="I79" s="455" t="s">
        <v>113</v>
      </c>
      <c r="J79" s="458"/>
      <c r="K79" s="403"/>
      <c r="L79" s="403"/>
      <c r="M79" s="403"/>
      <c r="N79" s="403"/>
      <c r="O79" s="403"/>
      <c r="P79" s="403"/>
      <c r="Q79" s="403"/>
      <c r="R79" s="403"/>
      <c r="S79" s="403"/>
      <c r="T79" s="403"/>
      <c r="U79" s="403"/>
      <c r="V79" s="403"/>
      <c r="W79" s="403"/>
      <c r="X79" s="403"/>
      <c r="Y79" s="403"/>
      <c r="Z79" s="403"/>
      <c r="AA79" s="403"/>
      <c r="AB79" s="403"/>
      <c r="AC79" s="403"/>
      <c r="AD79" s="403"/>
    </row>
    <row r="80" spans="1:30" ht="16">
      <c r="A80" s="413"/>
      <c r="B80" s="413"/>
      <c r="C80" s="396"/>
      <c r="D80" s="396"/>
      <c r="E80" s="413"/>
      <c r="F80" s="400"/>
      <c r="G80" s="414"/>
      <c r="H80" s="428"/>
      <c r="I80" s="435" t="s">
        <v>114</v>
      </c>
      <c r="J80" s="458"/>
      <c r="K80" s="403"/>
      <c r="L80" s="403"/>
      <c r="M80" s="403"/>
      <c r="N80" s="403"/>
      <c r="O80" s="403"/>
      <c r="P80" s="403"/>
      <c r="Q80" s="403"/>
      <c r="R80" s="403"/>
      <c r="S80" s="403"/>
      <c r="T80" s="403"/>
      <c r="U80" s="403"/>
      <c r="V80" s="403"/>
      <c r="W80" s="403"/>
      <c r="X80" s="403"/>
      <c r="Y80" s="403"/>
      <c r="Z80" s="403"/>
      <c r="AA80" s="403"/>
      <c r="AB80" s="403"/>
      <c r="AC80" s="403"/>
      <c r="AD80" s="403"/>
    </row>
    <row r="81" spans="1:30" ht="16">
      <c r="A81" s="413"/>
      <c r="B81" s="413"/>
      <c r="C81" s="396"/>
      <c r="D81" s="396"/>
      <c r="E81" s="413"/>
      <c r="F81" s="400"/>
      <c r="G81" s="414"/>
      <c r="H81" s="428"/>
      <c r="I81" s="435" t="s">
        <v>115</v>
      </c>
      <c r="J81" s="458"/>
      <c r="K81" s="403"/>
      <c r="L81" s="403"/>
      <c r="M81" s="403"/>
      <c r="N81" s="403"/>
      <c r="O81" s="403"/>
      <c r="P81" s="403"/>
      <c r="Q81" s="403"/>
      <c r="R81" s="403"/>
      <c r="S81" s="403"/>
      <c r="T81" s="403"/>
      <c r="U81" s="403"/>
      <c r="V81" s="403"/>
      <c r="W81" s="403"/>
      <c r="X81" s="403"/>
      <c r="Y81" s="403"/>
      <c r="Z81" s="403"/>
      <c r="AA81" s="403"/>
      <c r="AB81" s="403"/>
      <c r="AC81" s="403"/>
      <c r="AD81" s="403"/>
    </row>
    <row r="82" spans="1:30" ht="16">
      <c r="A82" s="413"/>
      <c r="B82" s="413"/>
      <c r="C82" s="396"/>
      <c r="D82" s="396"/>
      <c r="E82" s="413"/>
      <c r="F82" s="400"/>
      <c r="G82" s="414"/>
      <c r="H82" s="428"/>
      <c r="I82" s="435" t="s">
        <v>116</v>
      </c>
      <c r="J82" s="458"/>
      <c r="K82" s="403"/>
      <c r="L82" s="403"/>
      <c r="M82" s="403"/>
      <c r="N82" s="403"/>
      <c r="O82" s="403"/>
      <c r="P82" s="403"/>
      <c r="Q82" s="403"/>
      <c r="R82" s="403"/>
      <c r="S82" s="403"/>
      <c r="T82" s="403"/>
      <c r="U82" s="403"/>
      <c r="V82" s="403"/>
      <c r="W82" s="403"/>
      <c r="X82" s="403"/>
      <c r="Y82" s="403"/>
      <c r="Z82" s="403"/>
      <c r="AA82" s="403"/>
      <c r="AB82" s="403"/>
      <c r="AC82" s="403"/>
      <c r="AD82" s="403"/>
    </row>
    <row r="83" spans="1:30" ht="15.5">
      <c r="A83" s="413"/>
      <c r="B83" s="413"/>
      <c r="C83" s="396"/>
      <c r="D83" s="396" t="s">
        <v>457</v>
      </c>
      <c r="E83" s="413"/>
      <c r="F83" s="400" t="s">
        <v>75</v>
      </c>
      <c r="G83" s="414">
        <v>0</v>
      </c>
      <c r="H83" s="428">
        <v>0</v>
      </c>
      <c r="I83" s="403"/>
      <c r="J83" s="458"/>
      <c r="K83" s="403"/>
      <c r="L83" s="403"/>
      <c r="M83" s="403"/>
      <c r="N83" s="403"/>
      <c r="O83" s="403"/>
      <c r="P83" s="403"/>
      <c r="Q83" s="403"/>
      <c r="R83" s="403"/>
      <c r="S83" s="403"/>
      <c r="T83" s="403"/>
      <c r="U83" s="403"/>
      <c r="V83" s="403"/>
      <c r="W83" s="403"/>
      <c r="X83" s="403"/>
      <c r="Y83" s="403"/>
      <c r="Z83" s="403"/>
      <c r="AA83" s="403"/>
      <c r="AB83" s="403"/>
      <c r="AC83" s="403"/>
      <c r="AD83" s="403"/>
    </row>
    <row r="84" spans="1:30" ht="15.5">
      <c r="A84" s="413"/>
      <c r="B84" s="413"/>
      <c r="C84" s="396"/>
      <c r="D84" s="396" t="s">
        <v>458</v>
      </c>
      <c r="E84" s="413"/>
      <c r="F84" s="400" t="s">
        <v>77</v>
      </c>
      <c r="G84" s="414">
        <v>0</v>
      </c>
      <c r="H84" s="428">
        <v>0</v>
      </c>
      <c r="I84" s="403"/>
      <c r="J84" s="458"/>
      <c r="K84" s="403"/>
      <c r="L84" s="403"/>
      <c r="M84" s="403"/>
      <c r="N84" s="403"/>
      <c r="O84" s="403"/>
      <c r="P84" s="403"/>
      <c r="Q84" s="403"/>
      <c r="R84" s="403"/>
      <c r="S84" s="403"/>
      <c r="T84" s="403"/>
      <c r="U84" s="403"/>
      <c r="V84" s="403"/>
      <c r="W84" s="403"/>
      <c r="X84" s="403"/>
      <c r="Y84" s="403"/>
      <c r="Z84" s="403"/>
      <c r="AA84" s="403"/>
      <c r="AB84" s="403"/>
      <c r="AC84" s="403"/>
      <c r="AD84" s="403"/>
    </row>
    <row r="85" spans="1:30" ht="15.5">
      <c r="A85" s="413"/>
      <c r="B85" s="413"/>
      <c r="C85" s="396"/>
      <c r="D85" s="396"/>
      <c r="E85" s="413"/>
      <c r="F85" s="400"/>
      <c r="G85" s="414"/>
      <c r="H85" s="428"/>
      <c r="I85" s="403"/>
      <c r="J85" s="458"/>
      <c r="K85" s="403"/>
      <c r="L85" s="403"/>
      <c r="M85" s="403"/>
      <c r="N85" s="403"/>
      <c r="O85" s="403"/>
      <c r="P85" s="403"/>
      <c r="Q85" s="403"/>
      <c r="R85" s="403"/>
      <c r="S85" s="403"/>
      <c r="T85" s="403"/>
      <c r="U85" s="403"/>
      <c r="V85" s="403"/>
      <c r="W85" s="403"/>
      <c r="X85" s="403"/>
      <c r="Y85" s="403"/>
      <c r="Z85" s="403"/>
      <c r="AA85" s="403"/>
      <c r="AB85" s="403"/>
      <c r="AC85" s="403"/>
      <c r="AD85" s="403"/>
    </row>
    <row r="86" spans="1:30" ht="15.5">
      <c r="A86" s="413"/>
      <c r="B86" s="413"/>
      <c r="C86" s="396"/>
      <c r="D86" s="396"/>
      <c r="E86" s="413"/>
      <c r="F86" s="400"/>
      <c r="G86" s="414"/>
      <c r="H86" s="428"/>
      <c r="I86" s="403"/>
      <c r="J86" s="458"/>
      <c r="K86" s="403"/>
      <c r="L86" s="403"/>
      <c r="M86" s="403"/>
      <c r="N86" s="403"/>
      <c r="O86" s="403"/>
      <c r="P86" s="403"/>
      <c r="Q86" s="403"/>
      <c r="R86" s="403"/>
      <c r="S86" s="403"/>
      <c r="T86" s="403"/>
      <c r="U86" s="403"/>
      <c r="V86" s="403"/>
      <c r="W86" s="403"/>
      <c r="X86" s="403"/>
      <c r="Y86" s="403"/>
      <c r="Z86" s="403"/>
      <c r="AA86" s="403"/>
      <c r="AB86" s="403"/>
      <c r="AC86" s="403"/>
      <c r="AD86" s="403"/>
    </row>
    <row r="87" spans="1:30" ht="15.5">
      <c r="A87" s="413"/>
      <c r="B87" s="413"/>
      <c r="C87" s="396" t="s">
        <v>51</v>
      </c>
      <c r="D87" s="396" t="s">
        <v>51</v>
      </c>
      <c r="E87" s="413"/>
      <c r="F87" s="400" t="s">
        <v>52</v>
      </c>
      <c r="G87" s="414">
        <v>0</v>
      </c>
      <c r="H87" s="428">
        <v>0</v>
      </c>
      <c r="I87" s="403"/>
      <c r="J87" s="458"/>
      <c r="K87" s="403"/>
      <c r="L87" s="403"/>
      <c r="M87" s="403"/>
      <c r="N87" s="403"/>
      <c r="O87" s="403"/>
      <c r="P87" s="403"/>
      <c r="Q87" s="403"/>
      <c r="R87" s="403"/>
      <c r="S87" s="403"/>
      <c r="T87" s="403"/>
      <c r="U87" s="403"/>
      <c r="V87" s="403"/>
      <c r="W87" s="403"/>
      <c r="X87" s="403"/>
      <c r="Y87" s="403"/>
      <c r="Z87" s="403"/>
      <c r="AA87" s="403"/>
      <c r="AB87" s="403"/>
      <c r="AC87" s="403"/>
      <c r="AD87" s="403"/>
    </row>
    <row r="88" spans="1:30" ht="15.5">
      <c r="A88" s="396"/>
      <c r="B88" s="396"/>
      <c r="C88" s="396"/>
      <c r="D88" s="396"/>
      <c r="E88" s="396"/>
      <c r="F88" s="400"/>
      <c r="G88" s="414"/>
      <c r="H88" s="400"/>
      <c r="I88" s="403"/>
      <c r="J88" s="458"/>
      <c r="K88" s="403"/>
      <c r="L88" s="403"/>
      <c r="M88" s="403"/>
      <c r="N88" s="403"/>
      <c r="O88" s="403"/>
      <c r="P88" s="403"/>
      <c r="Q88" s="403"/>
      <c r="R88" s="403"/>
      <c r="S88" s="403"/>
      <c r="T88" s="403"/>
      <c r="U88" s="403"/>
      <c r="V88" s="403"/>
      <c r="W88" s="403"/>
      <c r="X88" s="403"/>
      <c r="Y88" s="403"/>
      <c r="Z88" s="403"/>
      <c r="AA88" s="403"/>
      <c r="AB88" s="403"/>
      <c r="AC88" s="403"/>
      <c r="AD88" s="403"/>
    </row>
    <row r="89" spans="1:30" ht="15.5">
      <c r="A89" s="410"/>
      <c r="B89" s="404" t="s">
        <v>78</v>
      </c>
      <c r="C89" s="404" t="s">
        <v>47</v>
      </c>
      <c r="D89" s="404" t="s">
        <v>47</v>
      </c>
      <c r="E89" s="410"/>
      <c r="F89" s="405" t="s">
        <v>23</v>
      </c>
      <c r="G89" s="411">
        <v>0</v>
      </c>
      <c r="H89" s="407">
        <f>G89/$G$9</f>
        <v>0</v>
      </c>
      <c r="I89" s="412"/>
      <c r="J89" s="460"/>
      <c r="K89" s="412"/>
      <c r="L89" s="412"/>
      <c r="M89" s="412"/>
      <c r="N89" s="412"/>
      <c r="O89" s="412"/>
      <c r="P89" s="412"/>
      <c r="Q89" s="412"/>
      <c r="R89" s="412"/>
      <c r="S89" s="412"/>
      <c r="T89" s="412"/>
      <c r="U89" s="412"/>
      <c r="V89" s="412"/>
      <c r="W89" s="412"/>
      <c r="X89" s="412"/>
      <c r="Y89" s="412"/>
      <c r="Z89" s="412"/>
      <c r="AA89" s="412"/>
      <c r="AB89" s="412"/>
      <c r="AC89" s="412"/>
      <c r="AD89" s="412"/>
    </row>
    <row r="90" spans="1:30" ht="15.5">
      <c r="A90" s="413"/>
      <c r="B90" s="413"/>
      <c r="C90" s="396"/>
      <c r="D90" s="396"/>
      <c r="E90" s="413"/>
      <c r="F90" s="400"/>
      <c r="G90" s="414"/>
      <c r="H90" s="428"/>
      <c r="I90" s="403"/>
      <c r="J90" s="458"/>
      <c r="K90" s="403"/>
      <c r="L90" s="403"/>
      <c r="M90" s="403"/>
      <c r="N90" s="403"/>
      <c r="O90" s="403"/>
      <c r="P90" s="403"/>
      <c r="Q90" s="403"/>
      <c r="R90" s="403"/>
      <c r="S90" s="403"/>
      <c r="T90" s="403"/>
      <c r="U90" s="403"/>
      <c r="V90" s="403"/>
      <c r="W90" s="403"/>
      <c r="X90" s="403"/>
      <c r="Y90" s="403"/>
      <c r="Z90" s="403"/>
      <c r="AA90" s="403"/>
      <c r="AB90" s="403"/>
      <c r="AC90" s="403"/>
      <c r="AD90" s="403"/>
    </row>
    <row r="91" spans="1:30" ht="15.5">
      <c r="A91" s="413"/>
      <c r="B91" s="413"/>
      <c r="C91" s="396" t="s">
        <v>47</v>
      </c>
      <c r="D91" s="396" t="s">
        <v>46</v>
      </c>
      <c r="E91" s="413"/>
      <c r="F91" s="400" t="s">
        <v>48</v>
      </c>
      <c r="G91" s="414">
        <v>0</v>
      </c>
      <c r="H91" s="428">
        <v>0</v>
      </c>
      <c r="I91" s="403"/>
      <c r="J91" s="458"/>
      <c r="K91" s="403"/>
      <c r="L91" s="403"/>
      <c r="M91" s="403"/>
      <c r="N91" s="403"/>
      <c r="O91" s="403"/>
      <c r="P91" s="403"/>
      <c r="Q91" s="403"/>
      <c r="R91" s="403"/>
      <c r="S91" s="403"/>
      <c r="T91" s="403"/>
      <c r="U91" s="403"/>
      <c r="V91" s="403"/>
      <c r="W91" s="403"/>
      <c r="X91" s="403"/>
      <c r="Y91" s="403"/>
      <c r="Z91" s="403"/>
      <c r="AA91" s="403"/>
      <c r="AB91" s="403"/>
      <c r="AC91" s="403"/>
      <c r="AD91" s="403"/>
    </row>
    <row r="92" spans="1:30" ht="15.5">
      <c r="A92" s="413"/>
      <c r="B92" s="413"/>
      <c r="C92" s="396"/>
      <c r="D92" s="396" t="s">
        <v>49</v>
      </c>
      <c r="E92" s="413"/>
      <c r="F92" s="400" t="s">
        <v>117</v>
      </c>
      <c r="G92" s="414">
        <v>0</v>
      </c>
      <c r="H92" s="428">
        <v>0</v>
      </c>
      <c r="I92" s="403"/>
      <c r="J92" s="458"/>
      <c r="K92" s="403"/>
      <c r="L92" s="403"/>
      <c r="M92" s="403"/>
      <c r="N92" s="403"/>
      <c r="O92" s="403"/>
      <c r="P92" s="403"/>
      <c r="Q92" s="403"/>
      <c r="R92" s="403"/>
      <c r="S92" s="403"/>
      <c r="T92" s="403"/>
      <c r="U92" s="403"/>
      <c r="V92" s="403"/>
      <c r="W92" s="403"/>
      <c r="X92" s="403"/>
      <c r="Y92" s="403"/>
      <c r="Z92" s="403"/>
      <c r="AA92" s="403"/>
      <c r="AB92" s="403"/>
      <c r="AC92" s="403"/>
      <c r="AD92" s="403"/>
    </row>
    <row r="93" spans="1:30" ht="15.5">
      <c r="A93" s="413"/>
      <c r="B93" s="413"/>
      <c r="C93" s="396"/>
      <c r="D93" s="396" t="s">
        <v>53</v>
      </c>
      <c r="E93" s="413"/>
      <c r="F93" s="400" t="s">
        <v>50</v>
      </c>
      <c r="G93" s="414">
        <v>0</v>
      </c>
      <c r="H93" s="428">
        <v>0</v>
      </c>
      <c r="I93" s="403"/>
      <c r="J93" s="458"/>
      <c r="K93" s="403"/>
      <c r="L93" s="403"/>
      <c r="M93" s="403"/>
      <c r="N93" s="403"/>
      <c r="O93" s="403"/>
      <c r="P93" s="403"/>
      <c r="Q93" s="403"/>
      <c r="R93" s="403"/>
      <c r="S93" s="403"/>
      <c r="T93" s="403"/>
      <c r="U93" s="403"/>
      <c r="V93" s="403"/>
      <c r="W93" s="403"/>
      <c r="X93" s="403"/>
      <c r="Y93" s="403"/>
      <c r="Z93" s="403"/>
      <c r="AA93" s="403"/>
      <c r="AB93" s="403"/>
      <c r="AC93" s="403"/>
      <c r="AD93" s="403"/>
    </row>
    <row r="94" spans="1:30" ht="15.5">
      <c r="A94" s="413"/>
      <c r="B94" s="413"/>
      <c r="C94" s="396" t="s">
        <v>51</v>
      </c>
      <c r="D94" s="396" t="s">
        <v>51</v>
      </c>
      <c r="E94" s="413"/>
      <c r="F94" s="400" t="s">
        <v>52</v>
      </c>
      <c r="G94" s="414">
        <v>0</v>
      </c>
      <c r="H94" s="428">
        <v>0</v>
      </c>
      <c r="I94" s="403"/>
      <c r="J94" s="458"/>
      <c r="K94" s="403"/>
      <c r="L94" s="403"/>
      <c r="M94" s="403"/>
      <c r="N94" s="403"/>
      <c r="O94" s="403"/>
      <c r="P94" s="403"/>
      <c r="Q94" s="403"/>
      <c r="R94" s="403"/>
      <c r="S94" s="403"/>
      <c r="T94" s="403"/>
      <c r="U94" s="403"/>
      <c r="V94" s="403"/>
      <c r="W94" s="403"/>
      <c r="X94" s="403"/>
      <c r="Y94" s="403"/>
      <c r="Z94" s="403"/>
      <c r="AA94" s="403"/>
      <c r="AB94" s="403"/>
      <c r="AC94" s="403"/>
      <c r="AD94" s="403"/>
    </row>
    <row r="95" spans="1:30" ht="15.5">
      <c r="A95" s="396"/>
      <c r="B95" s="396"/>
      <c r="C95" s="396"/>
      <c r="D95" s="396"/>
      <c r="E95" s="396"/>
      <c r="F95" s="400"/>
      <c r="G95" s="414"/>
      <c r="H95" s="400"/>
      <c r="I95" s="403"/>
      <c r="J95" s="458"/>
      <c r="K95" s="403"/>
      <c r="L95" s="403"/>
      <c r="M95" s="403"/>
      <c r="N95" s="403"/>
      <c r="O95" s="403"/>
      <c r="P95" s="403"/>
      <c r="Q95" s="403"/>
      <c r="R95" s="403"/>
      <c r="S95" s="403"/>
      <c r="T95" s="403"/>
      <c r="U95" s="403"/>
      <c r="V95" s="403"/>
      <c r="W95" s="403"/>
      <c r="X95" s="403"/>
      <c r="Y95" s="403"/>
      <c r="Z95" s="403"/>
      <c r="AA95" s="403"/>
      <c r="AB95" s="403"/>
      <c r="AC95" s="403"/>
      <c r="AD95" s="403"/>
    </row>
    <row r="96" spans="1:30" ht="15.5">
      <c r="A96" s="410"/>
      <c r="B96" s="404" t="s">
        <v>79</v>
      </c>
      <c r="C96" s="404" t="s">
        <v>47</v>
      </c>
      <c r="D96" s="404" t="s">
        <v>47</v>
      </c>
      <c r="E96" s="410"/>
      <c r="F96" s="405" t="s">
        <v>24</v>
      </c>
      <c r="G96" s="411">
        <f>G97+G99</f>
        <v>50000</v>
      </c>
      <c r="H96" s="407">
        <f>G96/$G$9</f>
        <v>1.929237870013354E-2</v>
      </c>
      <c r="I96" s="412"/>
      <c r="J96" s="460"/>
      <c r="K96" s="412"/>
      <c r="L96" s="412"/>
      <c r="M96" s="412"/>
      <c r="N96" s="412"/>
      <c r="O96" s="412"/>
      <c r="P96" s="412"/>
      <c r="Q96" s="412"/>
      <c r="R96" s="412"/>
      <c r="S96" s="412"/>
      <c r="T96" s="412"/>
      <c r="U96" s="412"/>
      <c r="V96" s="412"/>
      <c r="W96" s="412"/>
      <c r="X96" s="412"/>
      <c r="Y96" s="412"/>
      <c r="Z96" s="412"/>
      <c r="AA96" s="412"/>
      <c r="AB96" s="412"/>
      <c r="AC96" s="412"/>
      <c r="AD96" s="412"/>
    </row>
    <row r="97" spans="1:30" ht="15.5">
      <c r="A97" s="413"/>
      <c r="B97" s="413"/>
      <c r="C97" s="396" t="s">
        <v>47</v>
      </c>
      <c r="D97" s="396" t="s">
        <v>46</v>
      </c>
      <c r="E97" s="413"/>
      <c r="F97" s="400" t="s">
        <v>48</v>
      </c>
      <c r="G97" s="414">
        <v>10000</v>
      </c>
      <c r="H97" s="428">
        <f>G97/G96</f>
        <v>0.2</v>
      </c>
      <c r="I97" s="403"/>
      <c r="J97" s="458"/>
      <c r="K97" s="403"/>
      <c r="L97" s="403"/>
      <c r="M97" s="403"/>
      <c r="N97" s="403"/>
      <c r="O97" s="403"/>
      <c r="P97" s="403"/>
      <c r="Q97" s="403"/>
      <c r="R97" s="403"/>
      <c r="S97" s="403"/>
      <c r="T97" s="403"/>
      <c r="U97" s="403"/>
      <c r="V97" s="403"/>
      <c r="W97" s="403"/>
      <c r="X97" s="403"/>
      <c r="Y97" s="403"/>
      <c r="Z97" s="403"/>
      <c r="AA97" s="403"/>
      <c r="AB97" s="403"/>
      <c r="AC97" s="403"/>
      <c r="AD97" s="403"/>
    </row>
    <row r="98" spans="1:30" ht="16">
      <c r="A98" s="396"/>
      <c r="B98" s="396"/>
      <c r="C98" s="396"/>
      <c r="D98" s="396"/>
      <c r="E98" s="434" t="s">
        <v>108</v>
      </c>
      <c r="F98" s="435" t="s">
        <v>109</v>
      </c>
      <c r="G98" s="436">
        <v>10000</v>
      </c>
      <c r="H98" s="428">
        <v>1</v>
      </c>
      <c r="I98" s="435" t="s">
        <v>118</v>
      </c>
      <c r="J98" s="458"/>
      <c r="K98" s="403"/>
      <c r="L98" s="403"/>
      <c r="M98" s="403"/>
      <c r="N98" s="403"/>
      <c r="O98" s="403"/>
      <c r="P98" s="403"/>
      <c r="Q98" s="403"/>
      <c r="R98" s="403"/>
      <c r="S98" s="403"/>
      <c r="T98" s="403"/>
      <c r="U98" s="403"/>
      <c r="V98" s="403"/>
      <c r="W98" s="403"/>
      <c r="X98" s="403"/>
      <c r="Y98" s="403"/>
      <c r="Z98" s="403"/>
      <c r="AA98" s="403"/>
      <c r="AB98" s="403"/>
      <c r="AC98" s="403"/>
      <c r="AD98" s="403"/>
    </row>
    <row r="99" spans="1:30" ht="16">
      <c r="A99" s="396"/>
      <c r="B99" s="396"/>
      <c r="C99" s="396" t="s">
        <v>47</v>
      </c>
      <c r="D99" s="396" t="s">
        <v>49</v>
      </c>
      <c r="E99" s="413"/>
      <c r="F99" s="400" t="s">
        <v>119</v>
      </c>
      <c r="G99" s="414">
        <v>40000</v>
      </c>
      <c r="H99" s="437">
        <f>G99/G96</f>
        <v>0.8</v>
      </c>
      <c r="I99" s="435"/>
      <c r="J99" s="458"/>
      <c r="K99" s="403"/>
      <c r="L99" s="403"/>
      <c r="M99" s="403"/>
      <c r="N99" s="403"/>
      <c r="O99" s="403"/>
      <c r="P99" s="403"/>
      <c r="Q99" s="403"/>
      <c r="R99" s="403"/>
      <c r="S99" s="403"/>
      <c r="T99" s="403"/>
      <c r="U99" s="403"/>
      <c r="V99" s="403"/>
      <c r="W99" s="403"/>
      <c r="X99" s="403"/>
      <c r="Y99" s="403"/>
      <c r="Z99" s="403"/>
      <c r="AA99" s="403"/>
      <c r="AB99" s="403"/>
      <c r="AC99" s="403"/>
      <c r="AD99" s="403"/>
    </row>
    <row r="100" spans="1:30" ht="16">
      <c r="A100" s="396"/>
      <c r="B100" s="396"/>
      <c r="C100" s="396"/>
      <c r="D100" s="396"/>
      <c r="E100" s="434" t="s">
        <v>108</v>
      </c>
      <c r="F100" s="435" t="s">
        <v>109</v>
      </c>
      <c r="G100" s="436">
        <v>40000</v>
      </c>
      <c r="H100" s="428">
        <v>1</v>
      </c>
      <c r="I100" s="435" t="s">
        <v>118</v>
      </c>
      <c r="J100" s="458"/>
      <c r="K100" s="403"/>
      <c r="L100" s="403"/>
      <c r="M100" s="403"/>
      <c r="N100" s="403"/>
      <c r="O100" s="403"/>
      <c r="P100" s="403"/>
      <c r="Q100" s="403"/>
      <c r="R100" s="403"/>
      <c r="S100" s="403"/>
      <c r="T100" s="403"/>
      <c r="U100" s="403"/>
      <c r="V100" s="403"/>
      <c r="W100" s="403"/>
      <c r="X100" s="403"/>
      <c r="Y100" s="403"/>
      <c r="Z100" s="403"/>
      <c r="AA100" s="403"/>
      <c r="AB100" s="403"/>
      <c r="AC100" s="403"/>
      <c r="AD100" s="403"/>
    </row>
    <row r="101" spans="1:30" ht="15.5">
      <c r="A101" s="396"/>
      <c r="B101" s="396"/>
      <c r="C101" s="396" t="s">
        <v>47</v>
      </c>
      <c r="D101" s="396" t="s">
        <v>53</v>
      </c>
      <c r="E101" s="413"/>
      <c r="F101" s="400" t="s">
        <v>120</v>
      </c>
      <c r="G101" s="414"/>
      <c r="H101" s="437"/>
      <c r="I101" s="403"/>
      <c r="J101" s="458"/>
      <c r="K101" s="403"/>
      <c r="L101" s="403"/>
      <c r="M101" s="403"/>
      <c r="N101" s="403"/>
      <c r="O101" s="403"/>
      <c r="P101" s="403"/>
      <c r="Q101" s="403"/>
      <c r="R101" s="403"/>
      <c r="S101" s="403"/>
      <c r="T101" s="403"/>
      <c r="U101" s="403"/>
      <c r="V101" s="403"/>
      <c r="W101" s="403"/>
      <c r="X101" s="403"/>
      <c r="Y101" s="403"/>
      <c r="Z101" s="403"/>
      <c r="AA101" s="403"/>
      <c r="AB101" s="403"/>
      <c r="AC101" s="403"/>
      <c r="AD101" s="403"/>
    </row>
    <row r="102" spans="1:30" ht="15.5">
      <c r="A102" s="396"/>
      <c r="B102" s="396"/>
      <c r="C102" s="396" t="s">
        <v>51</v>
      </c>
      <c r="D102" s="396" t="s">
        <v>51</v>
      </c>
      <c r="E102" s="413"/>
      <c r="F102" s="400" t="str">
        <f>'表3-2｜期出預算附屬表'!F265</f>
        <v>預備金</v>
      </c>
      <c r="G102" s="414">
        <v>0</v>
      </c>
      <c r="H102" s="438">
        <v>0</v>
      </c>
      <c r="I102" s="403"/>
      <c r="J102" s="458"/>
      <c r="K102" s="403"/>
      <c r="L102" s="403"/>
      <c r="M102" s="403"/>
      <c r="N102" s="403"/>
      <c r="O102" s="403"/>
      <c r="P102" s="403"/>
      <c r="Q102" s="403"/>
      <c r="R102" s="403"/>
      <c r="S102" s="403"/>
      <c r="T102" s="403"/>
      <c r="U102" s="403"/>
      <c r="V102" s="403"/>
      <c r="W102" s="403"/>
      <c r="X102" s="403"/>
      <c r="Y102" s="403"/>
      <c r="Z102" s="403"/>
      <c r="AA102" s="403"/>
      <c r="AB102" s="403"/>
      <c r="AC102" s="403"/>
      <c r="AD102" s="403"/>
    </row>
    <row r="103" spans="1:30" ht="15.5">
      <c r="A103" s="396"/>
      <c r="B103" s="396"/>
      <c r="C103" s="396"/>
      <c r="D103" s="396"/>
      <c r="E103" s="396"/>
      <c r="F103" s="400"/>
      <c r="G103" s="414"/>
      <c r="H103" s="437"/>
      <c r="I103" s="403"/>
      <c r="J103" s="458"/>
      <c r="K103" s="403"/>
      <c r="L103" s="403"/>
      <c r="M103" s="403"/>
      <c r="N103" s="403"/>
      <c r="O103" s="403"/>
      <c r="P103" s="403"/>
      <c r="Q103" s="403"/>
      <c r="R103" s="403"/>
      <c r="S103" s="403"/>
      <c r="T103" s="403"/>
      <c r="U103" s="403"/>
      <c r="V103" s="403"/>
      <c r="W103" s="403"/>
      <c r="X103" s="403"/>
      <c r="Y103" s="403"/>
      <c r="Z103" s="403"/>
      <c r="AA103" s="403"/>
      <c r="AB103" s="403"/>
      <c r="AC103" s="403"/>
      <c r="AD103" s="403"/>
    </row>
    <row r="104" spans="1:30" ht="15.5">
      <c r="A104" s="410"/>
      <c r="B104" s="404" t="s">
        <v>51</v>
      </c>
      <c r="C104" s="404" t="s">
        <v>47</v>
      </c>
      <c r="D104" s="404" t="s">
        <v>47</v>
      </c>
      <c r="E104" s="410"/>
      <c r="F104" s="405" t="s">
        <v>25</v>
      </c>
      <c r="G104" s="411">
        <f>SUM(G107,G111)</f>
        <v>66200</v>
      </c>
      <c r="H104" s="407">
        <f>G104/$G$9</f>
        <v>2.5543109398976808E-2</v>
      </c>
      <c r="I104" s="412"/>
      <c r="J104" s="460"/>
      <c r="K104" s="412"/>
      <c r="L104" s="412"/>
      <c r="M104" s="412"/>
      <c r="N104" s="412"/>
      <c r="O104" s="412"/>
      <c r="P104" s="412"/>
      <c r="Q104" s="412"/>
      <c r="R104" s="412"/>
      <c r="S104" s="412"/>
      <c r="T104" s="412"/>
      <c r="U104" s="412"/>
      <c r="V104" s="412"/>
      <c r="W104" s="412"/>
      <c r="X104" s="412"/>
      <c r="Y104" s="412"/>
      <c r="Z104" s="412"/>
      <c r="AA104" s="412"/>
      <c r="AB104" s="412"/>
      <c r="AC104" s="412"/>
      <c r="AD104" s="412"/>
    </row>
    <row r="105" spans="1:30" ht="15.5">
      <c r="A105" s="413"/>
      <c r="B105" s="413"/>
      <c r="C105" s="396" t="s">
        <v>47</v>
      </c>
      <c r="D105" s="396" t="s">
        <v>46</v>
      </c>
      <c r="E105" s="413"/>
      <c r="F105" s="400" t="s">
        <v>48</v>
      </c>
      <c r="G105" s="414">
        <v>0</v>
      </c>
      <c r="H105" s="428">
        <v>0</v>
      </c>
      <c r="I105" s="403"/>
      <c r="J105" s="458"/>
      <c r="K105" s="403"/>
      <c r="L105" s="403"/>
      <c r="M105" s="403"/>
      <c r="N105" s="403"/>
      <c r="O105" s="403"/>
      <c r="P105" s="403"/>
      <c r="Q105" s="403"/>
      <c r="R105" s="403"/>
      <c r="S105" s="403"/>
      <c r="T105" s="403"/>
      <c r="U105" s="403"/>
      <c r="V105" s="403"/>
      <c r="W105" s="403"/>
      <c r="X105" s="403"/>
      <c r="Y105" s="403"/>
      <c r="Z105" s="403"/>
      <c r="AA105" s="403"/>
      <c r="AB105" s="403"/>
      <c r="AC105" s="403"/>
      <c r="AD105" s="403"/>
    </row>
    <row r="106" spans="1:30" ht="15.5">
      <c r="A106" s="413"/>
      <c r="B106" s="413"/>
      <c r="C106" s="396"/>
      <c r="D106" s="396"/>
      <c r="E106" s="413"/>
      <c r="F106" s="400"/>
      <c r="G106" s="414"/>
      <c r="H106" s="428"/>
      <c r="I106" s="403"/>
      <c r="J106" s="458"/>
      <c r="K106" s="403"/>
      <c r="L106" s="403"/>
      <c r="M106" s="403"/>
      <c r="N106" s="403"/>
      <c r="O106" s="403"/>
      <c r="P106" s="403"/>
      <c r="Q106" s="403"/>
      <c r="R106" s="403"/>
      <c r="S106" s="403"/>
      <c r="T106" s="403"/>
      <c r="U106" s="403"/>
      <c r="V106" s="403"/>
      <c r="W106" s="403"/>
      <c r="X106" s="403"/>
      <c r="Y106" s="403"/>
      <c r="Z106" s="403"/>
      <c r="AA106" s="403"/>
      <c r="AB106" s="403"/>
      <c r="AC106" s="403"/>
      <c r="AD106" s="403"/>
    </row>
    <row r="107" spans="1:30" ht="16">
      <c r="A107" s="439"/>
      <c r="B107" s="439"/>
      <c r="C107" s="440" t="s">
        <v>46</v>
      </c>
      <c r="D107" s="440" t="s">
        <v>47</v>
      </c>
      <c r="E107" s="441"/>
      <c r="F107" s="442" t="s">
        <v>80</v>
      </c>
      <c r="G107" s="443">
        <f>'表3-2｜期出預算附屬表'!G274</f>
        <v>36900</v>
      </c>
      <c r="H107" s="444">
        <f>G107/G104</f>
        <v>0.55740181268882172</v>
      </c>
      <c r="I107" s="446"/>
      <c r="J107" s="465"/>
      <c r="K107" s="446"/>
      <c r="L107" s="446"/>
      <c r="M107" s="446"/>
      <c r="N107" s="446"/>
      <c r="O107" s="446"/>
      <c r="P107" s="446"/>
      <c r="Q107" s="446"/>
      <c r="R107" s="446"/>
      <c r="S107" s="446"/>
      <c r="T107" s="446"/>
      <c r="U107" s="446"/>
      <c r="V107" s="446"/>
      <c r="W107" s="446"/>
      <c r="X107" s="446"/>
      <c r="Y107" s="446"/>
      <c r="Z107" s="446"/>
      <c r="AA107" s="446"/>
      <c r="AB107" s="446"/>
      <c r="AC107" s="446"/>
      <c r="AD107" s="446"/>
    </row>
    <row r="108" spans="1:30" ht="16">
      <c r="A108" s="396"/>
      <c r="B108" s="396"/>
      <c r="C108" s="396"/>
      <c r="D108" s="396" t="s">
        <v>46</v>
      </c>
      <c r="E108" s="434"/>
      <c r="F108" s="400" t="s">
        <v>81</v>
      </c>
      <c r="G108" s="414">
        <v>29200</v>
      </c>
      <c r="H108" s="428">
        <f>'表3-2｜期出預算附屬表'!H275</f>
        <v>0.79132791327913277</v>
      </c>
      <c r="I108" s="435" t="s">
        <v>104</v>
      </c>
      <c r="J108" s="458"/>
      <c r="K108" s="403"/>
      <c r="L108" s="403"/>
      <c r="M108" s="403"/>
      <c r="N108" s="403"/>
      <c r="O108" s="403"/>
      <c r="P108" s="403"/>
      <c r="Q108" s="403"/>
      <c r="R108" s="403"/>
      <c r="S108" s="403"/>
      <c r="T108" s="403"/>
      <c r="U108" s="403"/>
      <c r="V108" s="403"/>
      <c r="W108" s="403"/>
      <c r="X108" s="403"/>
      <c r="Y108" s="403"/>
      <c r="Z108" s="403"/>
      <c r="AA108" s="403"/>
      <c r="AB108" s="403"/>
      <c r="AC108" s="403"/>
      <c r="AD108" s="403"/>
    </row>
    <row r="109" spans="1:30" ht="16">
      <c r="A109" s="396"/>
      <c r="B109" s="396"/>
      <c r="C109" s="396"/>
      <c r="D109" s="396" t="s">
        <v>49</v>
      </c>
      <c r="E109" s="413"/>
      <c r="F109" s="400" t="str">
        <f>'表3-2｜期出預算附屬表'!F282</f>
        <v>NTUSADIA X Foreign Student Association Gathering</v>
      </c>
      <c r="G109" s="414">
        <v>7700</v>
      </c>
      <c r="H109" s="428">
        <f>G109/G107</f>
        <v>0.20867208672086721</v>
      </c>
      <c r="I109" s="435" t="s">
        <v>104</v>
      </c>
      <c r="J109" s="458"/>
      <c r="K109" s="403"/>
      <c r="L109" s="403"/>
      <c r="M109" s="403"/>
      <c r="N109" s="403"/>
      <c r="O109" s="403"/>
      <c r="P109" s="403"/>
      <c r="Q109" s="403"/>
      <c r="R109" s="403"/>
      <c r="S109" s="403"/>
      <c r="T109" s="403"/>
      <c r="U109" s="403"/>
      <c r="V109" s="403"/>
      <c r="W109" s="403"/>
      <c r="X109" s="403"/>
      <c r="Y109" s="403"/>
      <c r="Z109" s="403"/>
      <c r="AA109" s="403"/>
      <c r="AB109" s="403"/>
      <c r="AC109" s="403"/>
      <c r="AD109" s="403"/>
    </row>
    <row r="110" spans="1:30" ht="16">
      <c r="A110" s="396"/>
      <c r="B110" s="396"/>
      <c r="C110" s="396"/>
      <c r="D110" s="396"/>
      <c r="E110" s="434"/>
      <c r="F110" s="506"/>
      <c r="G110" s="414"/>
      <c r="H110" s="428"/>
      <c r="I110" s="435"/>
      <c r="J110" s="458"/>
      <c r="K110" s="403"/>
      <c r="L110" s="403"/>
      <c r="M110" s="403"/>
      <c r="N110" s="403"/>
      <c r="O110" s="403"/>
      <c r="P110" s="403"/>
      <c r="Q110" s="403"/>
      <c r="R110" s="403"/>
      <c r="S110" s="403"/>
      <c r="T110" s="403"/>
      <c r="U110" s="403"/>
      <c r="V110" s="403"/>
      <c r="W110" s="403"/>
      <c r="X110" s="403"/>
      <c r="Y110" s="403"/>
      <c r="Z110" s="403"/>
      <c r="AA110" s="403"/>
      <c r="AB110" s="403"/>
      <c r="AC110" s="403"/>
      <c r="AD110" s="403"/>
    </row>
    <row r="111" spans="1:30" ht="16">
      <c r="A111" s="439"/>
      <c r="B111" s="439"/>
      <c r="C111" s="439" t="s">
        <v>49</v>
      </c>
      <c r="D111" s="439" t="s">
        <v>47</v>
      </c>
      <c r="E111" s="447"/>
      <c r="F111" s="445" t="s">
        <v>82</v>
      </c>
      <c r="G111" s="443">
        <f>SUM(G112:G114)</f>
        <v>29300</v>
      </c>
      <c r="H111" s="444">
        <f>G111/G104</f>
        <v>0.44259818731117823</v>
      </c>
      <c r="I111" s="466"/>
      <c r="J111" s="465"/>
      <c r="K111" s="446"/>
      <c r="L111" s="446"/>
      <c r="M111" s="446"/>
      <c r="N111" s="446"/>
      <c r="O111" s="446"/>
      <c r="P111" s="446"/>
      <c r="Q111" s="446"/>
      <c r="R111" s="446"/>
      <c r="S111" s="446"/>
      <c r="T111" s="446"/>
      <c r="U111" s="446"/>
      <c r="V111" s="446"/>
      <c r="W111" s="446"/>
      <c r="X111" s="446"/>
      <c r="Y111" s="446"/>
      <c r="Z111" s="446"/>
      <c r="AA111" s="446"/>
      <c r="AB111" s="446"/>
      <c r="AC111" s="446"/>
      <c r="AD111" s="446"/>
    </row>
    <row r="112" spans="1:30" ht="16">
      <c r="A112" s="396"/>
      <c r="B112" s="396"/>
      <c r="C112" s="396"/>
      <c r="D112" s="396" t="s">
        <v>46</v>
      </c>
      <c r="E112" s="434"/>
      <c r="F112" s="400" t="s">
        <v>83</v>
      </c>
      <c r="G112" s="414">
        <v>7300</v>
      </c>
      <c r="H112" s="428">
        <f>G112/G111</f>
        <v>0.24914675767918087</v>
      </c>
      <c r="I112" s="435" t="s">
        <v>104</v>
      </c>
      <c r="J112" s="458"/>
      <c r="K112" s="403"/>
      <c r="L112" s="403"/>
      <c r="M112" s="403"/>
      <c r="N112" s="403"/>
      <c r="O112" s="403"/>
      <c r="P112" s="403"/>
      <c r="Q112" s="403"/>
      <c r="R112" s="403"/>
      <c r="S112" s="403"/>
      <c r="T112" s="403"/>
      <c r="U112" s="403"/>
      <c r="V112" s="403"/>
      <c r="W112" s="403"/>
      <c r="X112" s="403"/>
      <c r="Y112" s="403"/>
      <c r="Z112" s="403"/>
      <c r="AA112" s="403"/>
      <c r="AB112" s="403"/>
      <c r="AC112" s="403"/>
      <c r="AD112" s="403"/>
    </row>
    <row r="113" spans="1:30" ht="16">
      <c r="A113" s="396"/>
      <c r="B113" s="396"/>
      <c r="C113" s="396"/>
      <c r="D113" s="396" t="s">
        <v>49</v>
      </c>
      <c r="E113" s="413"/>
      <c r="F113" s="400" t="s">
        <v>84</v>
      </c>
      <c r="G113" s="414">
        <f>'表3-2｜期出預算附屬表'!G296</f>
        <v>8800</v>
      </c>
      <c r="H113" s="448">
        <f>G113/G111</f>
        <v>0.30034129692832767</v>
      </c>
      <c r="I113" s="435" t="s">
        <v>104</v>
      </c>
      <c r="J113" s="458"/>
      <c r="K113" s="403"/>
      <c r="L113" s="403"/>
      <c r="M113" s="403"/>
      <c r="N113" s="403"/>
      <c r="O113" s="403"/>
      <c r="P113" s="403"/>
      <c r="Q113" s="403"/>
      <c r="R113" s="403"/>
      <c r="S113" s="403"/>
      <c r="T113" s="403"/>
      <c r="U113" s="403"/>
      <c r="V113" s="403"/>
      <c r="W113" s="403"/>
      <c r="X113" s="403"/>
      <c r="Y113" s="403"/>
      <c r="Z113" s="403"/>
      <c r="AA113" s="403"/>
      <c r="AB113" s="403"/>
      <c r="AC113" s="403"/>
      <c r="AD113" s="403"/>
    </row>
    <row r="114" spans="1:30" ht="16">
      <c r="A114" s="396"/>
      <c r="B114" s="396"/>
      <c r="C114" s="396"/>
      <c r="D114" s="396" t="s">
        <v>53</v>
      </c>
      <c r="E114" s="434"/>
      <c r="F114" s="400" t="str">
        <f>'表3-2｜期出預算附屬表'!F304</f>
        <v>Make &amp; Gather</v>
      </c>
      <c r="G114" s="414">
        <f>'表3-2｜期出預算附屬表'!G304</f>
        <v>13200</v>
      </c>
      <c r="H114" s="428">
        <f>G114/G111</f>
        <v>0.45051194539249145</v>
      </c>
      <c r="I114" s="403" t="s">
        <v>104</v>
      </c>
      <c r="J114" s="458"/>
      <c r="K114" s="403"/>
      <c r="L114" s="403"/>
      <c r="M114" s="403"/>
      <c r="N114" s="403"/>
      <c r="O114" s="403"/>
      <c r="P114" s="403"/>
      <c r="Q114" s="403"/>
      <c r="R114" s="403"/>
      <c r="S114" s="403"/>
      <c r="T114" s="403"/>
      <c r="U114" s="403"/>
      <c r="V114" s="403"/>
      <c r="W114" s="403"/>
      <c r="X114" s="403"/>
      <c r="Y114" s="403"/>
      <c r="Z114" s="403"/>
      <c r="AA114" s="403"/>
      <c r="AB114" s="403"/>
      <c r="AC114" s="403"/>
      <c r="AD114" s="403"/>
    </row>
    <row r="115" spans="1:30" ht="15.5">
      <c r="A115" s="396"/>
      <c r="B115" s="396"/>
      <c r="C115" s="396" t="s">
        <v>51</v>
      </c>
      <c r="D115" s="396" t="s">
        <v>51</v>
      </c>
      <c r="E115" s="413"/>
      <c r="F115" s="400" t="s">
        <v>52</v>
      </c>
      <c r="G115" s="414">
        <v>0</v>
      </c>
      <c r="H115" s="428">
        <v>0</v>
      </c>
      <c r="I115" s="403"/>
      <c r="J115" s="458"/>
      <c r="K115" s="403"/>
      <c r="L115" s="403"/>
      <c r="M115" s="403"/>
      <c r="N115" s="403"/>
      <c r="O115" s="403"/>
      <c r="P115" s="403"/>
      <c r="Q115" s="403"/>
      <c r="R115" s="403"/>
      <c r="S115" s="403"/>
      <c r="T115" s="403"/>
      <c r="U115" s="403"/>
      <c r="V115" s="403"/>
      <c r="W115" s="403"/>
      <c r="X115" s="403"/>
      <c r="Y115" s="403"/>
      <c r="Z115" s="403"/>
      <c r="AA115" s="403"/>
      <c r="AB115" s="403"/>
      <c r="AC115" s="403"/>
      <c r="AD115" s="403"/>
    </row>
    <row r="116" spans="1:30" ht="16">
      <c r="A116" s="396"/>
      <c r="B116" s="396"/>
      <c r="C116" s="396"/>
      <c r="D116" s="396"/>
      <c r="E116" s="434"/>
      <c r="F116" s="506"/>
      <c r="G116" s="414"/>
      <c r="H116" s="400"/>
      <c r="I116" s="403"/>
      <c r="J116" s="458"/>
      <c r="K116" s="403"/>
      <c r="L116" s="403"/>
      <c r="M116" s="403"/>
      <c r="N116" s="403"/>
      <c r="O116" s="403"/>
      <c r="P116" s="403"/>
      <c r="Q116" s="403"/>
      <c r="R116" s="403"/>
      <c r="S116" s="403"/>
      <c r="T116" s="403"/>
      <c r="U116" s="403"/>
      <c r="V116" s="403"/>
      <c r="W116" s="403"/>
      <c r="X116" s="403"/>
      <c r="Y116" s="403"/>
      <c r="Z116" s="403"/>
      <c r="AA116" s="403"/>
      <c r="AB116" s="403"/>
      <c r="AC116" s="403"/>
      <c r="AD116" s="403"/>
    </row>
    <row r="117" spans="1:30" ht="15.5">
      <c r="A117" s="396"/>
      <c r="B117" s="396"/>
      <c r="C117" s="396"/>
      <c r="D117" s="396"/>
      <c r="E117" s="413"/>
      <c r="F117" s="400"/>
      <c r="G117" s="414"/>
      <c r="H117" s="400"/>
      <c r="I117" s="403"/>
      <c r="J117" s="458"/>
      <c r="K117" s="403"/>
      <c r="L117" s="403"/>
      <c r="M117" s="403"/>
      <c r="N117" s="403"/>
      <c r="O117" s="403"/>
      <c r="P117" s="403"/>
      <c r="Q117" s="403"/>
      <c r="R117" s="403"/>
      <c r="S117" s="403"/>
      <c r="T117" s="403"/>
      <c r="U117" s="403"/>
      <c r="V117" s="403"/>
      <c r="W117" s="403"/>
      <c r="X117" s="403"/>
      <c r="Y117" s="403"/>
      <c r="Z117" s="403"/>
      <c r="AA117" s="403"/>
      <c r="AB117" s="403"/>
      <c r="AC117" s="403"/>
      <c r="AD117" s="403"/>
    </row>
    <row r="118" spans="1:30" ht="15.5">
      <c r="A118" s="410"/>
      <c r="B118" s="404" t="s">
        <v>26</v>
      </c>
      <c r="C118" s="404" t="s">
        <v>47</v>
      </c>
      <c r="D118" s="404" t="s">
        <v>47</v>
      </c>
      <c r="E118" s="410"/>
      <c r="F118" s="405" t="s">
        <v>27</v>
      </c>
      <c r="G118" s="411">
        <v>0</v>
      </c>
      <c r="H118" s="407">
        <f>G118/$G$9</f>
        <v>0</v>
      </c>
      <c r="I118" s="412"/>
      <c r="J118" s="460"/>
      <c r="K118" s="412"/>
      <c r="L118" s="412"/>
      <c r="M118" s="412"/>
      <c r="N118" s="412"/>
      <c r="O118" s="412"/>
      <c r="P118" s="412"/>
      <c r="Q118" s="412"/>
      <c r="R118" s="412"/>
      <c r="S118" s="412"/>
      <c r="T118" s="412"/>
      <c r="U118" s="412"/>
      <c r="V118" s="412"/>
      <c r="W118" s="412"/>
      <c r="X118" s="412"/>
      <c r="Y118" s="412"/>
      <c r="Z118" s="412"/>
      <c r="AA118" s="412"/>
      <c r="AB118" s="412"/>
      <c r="AC118" s="412"/>
      <c r="AD118" s="412"/>
    </row>
    <row r="119" spans="1:30" ht="15.5">
      <c r="A119" s="413"/>
      <c r="B119" s="413"/>
      <c r="C119" s="396"/>
      <c r="D119" s="396"/>
      <c r="E119" s="413"/>
      <c r="F119" s="400"/>
      <c r="G119" s="414"/>
      <c r="H119" s="428"/>
      <c r="I119" s="403"/>
      <c r="J119" s="458"/>
      <c r="K119" s="403"/>
      <c r="L119" s="403"/>
      <c r="M119" s="403"/>
      <c r="N119" s="403"/>
      <c r="O119" s="403"/>
      <c r="P119" s="403"/>
      <c r="Q119" s="403"/>
      <c r="R119" s="403"/>
      <c r="S119" s="403"/>
      <c r="T119" s="403"/>
      <c r="U119" s="403"/>
      <c r="V119" s="403"/>
      <c r="W119" s="403"/>
      <c r="X119" s="403"/>
      <c r="Y119" s="403"/>
      <c r="Z119" s="403"/>
      <c r="AA119" s="403"/>
      <c r="AB119" s="403"/>
      <c r="AC119" s="403"/>
      <c r="AD119" s="403"/>
    </row>
    <row r="120" spans="1:30" ht="15.5">
      <c r="A120" s="413"/>
      <c r="B120" s="413"/>
      <c r="C120" s="396" t="s">
        <v>47</v>
      </c>
      <c r="D120" s="396" t="s">
        <v>46</v>
      </c>
      <c r="E120" s="413"/>
      <c r="F120" s="400" t="s">
        <v>48</v>
      </c>
      <c r="G120" s="414">
        <v>0</v>
      </c>
      <c r="H120" s="428">
        <v>0</v>
      </c>
      <c r="I120" s="403"/>
      <c r="J120" s="458"/>
      <c r="K120" s="403"/>
      <c r="L120" s="403"/>
      <c r="M120" s="403"/>
      <c r="N120" s="403"/>
      <c r="O120" s="403"/>
      <c r="P120" s="403"/>
      <c r="Q120" s="403"/>
      <c r="R120" s="403"/>
      <c r="S120" s="403"/>
      <c r="T120" s="403"/>
      <c r="U120" s="403"/>
      <c r="V120" s="403"/>
      <c r="W120" s="403"/>
      <c r="X120" s="403"/>
      <c r="Y120" s="403"/>
      <c r="Z120" s="403"/>
      <c r="AA120" s="403"/>
      <c r="AB120" s="403"/>
      <c r="AC120" s="403"/>
      <c r="AD120" s="403"/>
    </row>
    <row r="121" spans="1:30" ht="15.5">
      <c r="A121" s="413"/>
      <c r="B121" s="413"/>
      <c r="C121" s="396"/>
      <c r="D121" s="396" t="s">
        <v>49</v>
      </c>
      <c r="E121" s="413"/>
      <c r="F121" s="400" t="s">
        <v>121</v>
      </c>
      <c r="G121" s="414">
        <v>0</v>
      </c>
      <c r="H121" s="428">
        <v>0</v>
      </c>
      <c r="I121" s="403"/>
      <c r="J121" s="458"/>
      <c r="K121" s="403"/>
      <c r="L121" s="403"/>
      <c r="M121" s="403"/>
      <c r="N121" s="403"/>
      <c r="O121" s="403"/>
      <c r="P121" s="403"/>
      <c r="Q121" s="403"/>
      <c r="R121" s="403"/>
      <c r="S121" s="403"/>
      <c r="T121" s="403"/>
      <c r="U121" s="403"/>
      <c r="V121" s="403"/>
      <c r="W121" s="403"/>
      <c r="X121" s="403"/>
      <c r="Y121" s="403"/>
      <c r="Z121" s="403"/>
      <c r="AA121" s="403"/>
      <c r="AB121" s="403"/>
      <c r="AC121" s="403"/>
      <c r="AD121" s="403"/>
    </row>
    <row r="122" spans="1:30" ht="15.5">
      <c r="A122" s="413"/>
      <c r="B122" s="413"/>
      <c r="C122" s="396"/>
      <c r="D122" s="396" t="s">
        <v>53</v>
      </c>
      <c r="E122" s="413"/>
      <c r="F122" s="400" t="str">
        <f>'表3-2｜期出預算附屬表'!F328</f>
        <v>校內新資訊系統開發流程規範追蹤計畫</v>
      </c>
      <c r="G122" s="414">
        <v>0</v>
      </c>
      <c r="H122" s="428">
        <v>0</v>
      </c>
      <c r="I122" s="403"/>
      <c r="J122" s="458"/>
      <c r="K122" s="403"/>
      <c r="L122" s="403"/>
      <c r="M122" s="403"/>
      <c r="N122" s="403"/>
      <c r="O122" s="403"/>
      <c r="P122" s="403"/>
      <c r="Q122" s="403"/>
      <c r="R122" s="403"/>
      <c r="S122" s="403"/>
      <c r="T122" s="403"/>
      <c r="U122" s="403"/>
      <c r="V122" s="403"/>
      <c r="W122" s="403"/>
      <c r="X122" s="403"/>
      <c r="Y122" s="403"/>
      <c r="Z122" s="403"/>
      <c r="AA122" s="403"/>
      <c r="AB122" s="403"/>
      <c r="AC122" s="403"/>
      <c r="AD122" s="403"/>
    </row>
    <row r="123" spans="1:30" ht="15.5">
      <c r="A123" s="413"/>
      <c r="B123" s="413"/>
      <c r="C123" s="396"/>
      <c r="D123" s="396" t="s">
        <v>54</v>
      </c>
      <c r="E123" s="413"/>
      <c r="F123" s="400" t="str">
        <f>'表3-2｜期出預算附屬表'!F332</f>
        <v>校內資訊安全與隱私權議題探討及改善倡議計畫</v>
      </c>
      <c r="G123" s="414">
        <v>0</v>
      </c>
      <c r="H123" s="428">
        <v>0</v>
      </c>
      <c r="I123" s="403"/>
      <c r="J123" s="458"/>
      <c r="K123" s="403"/>
      <c r="L123" s="403"/>
      <c r="M123" s="403"/>
      <c r="N123" s="403"/>
      <c r="O123" s="403"/>
      <c r="P123" s="403"/>
      <c r="Q123" s="403"/>
      <c r="R123" s="403"/>
      <c r="S123" s="403"/>
      <c r="T123" s="403"/>
      <c r="U123" s="403"/>
      <c r="V123" s="403"/>
      <c r="W123" s="403"/>
      <c r="X123" s="403"/>
      <c r="Y123" s="403"/>
      <c r="Z123" s="403"/>
      <c r="AA123" s="403"/>
      <c r="AB123" s="403"/>
      <c r="AC123" s="403"/>
      <c r="AD123" s="403"/>
    </row>
    <row r="124" spans="1:30" ht="15.5">
      <c r="A124" s="413"/>
      <c r="B124" s="413"/>
      <c r="C124" s="396"/>
      <c r="D124" s="396" t="s">
        <v>56</v>
      </c>
      <c r="E124" s="413"/>
      <c r="F124" s="400" t="str">
        <f>'表3-2｜期出預算附屬表'!F336</f>
        <v>陳情案件處理及資訊相關突發事件追蹤</v>
      </c>
      <c r="G124" s="414">
        <v>0</v>
      </c>
      <c r="H124" s="428">
        <v>0</v>
      </c>
      <c r="I124" s="403"/>
      <c r="J124" s="458"/>
      <c r="K124" s="403"/>
      <c r="L124" s="403"/>
      <c r="M124" s="403"/>
      <c r="N124" s="403"/>
      <c r="O124" s="403"/>
      <c r="P124" s="403"/>
      <c r="Q124" s="403"/>
      <c r="R124" s="403"/>
      <c r="S124" s="403"/>
      <c r="T124" s="403"/>
      <c r="U124" s="403"/>
      <c r="V124" s="403"/>
      <c r="W124" s="403"/>
      <c r="X124" s="403"/>
      <c r="Y124" s="403"/>
      <c r="Z124" s="403"/>
      <c r="AA124" s="403"/>
      <c r="AB124" s="403"/>
      <c r="AC124" s="403"/>
      <c r="AD124" s="403"/>
    </row>
    <row r="125" spans="1:30" ht="15.5">
      <c r="A125" s="413"/>
      <c r="B125" s="413"/>
      <c r="C125" s="396" t="s">
        <v>51</v>
      </c>
      <c r="D125" s="396" t="s">
        <v>51</v>
      </c>
      <c r="E125" s="413"/>
      <c r="F125" s="400" t="s">
        <v>52</v>
      </c>
      <c r="G125" s="414">
        <v>0</v>
      </c>
      <c r="H125" s="428">
        <v>0</v>
      </c>
      <c r="I125" s="403"/>
      <c r="J125" s="458"/>
      <c r="K125" s="403"/>
      <c r="L125" s="403"/>
      <c r="M125" s="403"/>
      <c r="N125" s="403"/>
      <c r="O125" s="403"/>
      <c r="P125" s="403"/>
      <c r="Q125" s="403"/>
      <c r="R125" s="403"/>
      <c r="S125" s="403"/>
      <c r="T125" s="403"/>
      <c r="U125" s="403"/>
      <c r="V125" s="403"/>
      <c r="W125" s="403"/>
      <c r="X125" s="403"/>
      <c r="Y125" s="403"/>
      <c r="Z125" s="403"/>
      <c r="AA125" s="403"/>
      <c r="AB125" s="403"/>
      <c r="AC125" s="403"/>
      <c r="AD125" s="403"/>
    </row>
    <row r="126" spans="1:30" ht="15.5">
      <c r="A126" s="396"/>
      <c r="B126" s="396"/>
      <c r="C126" s="396"/>
      <c r="D126" s="396"/>
      <c r="E126" s="413"/>
      <c r="F126" s="400"/>
      <c r="G126" s="414"/>
      <c r="H126" s="428"/>
      <c r="I126" s="403"/>
      <c r="J126" s="458"/>
      <c r="K126" s="403"/>
      <c r="L126" s="403"/>
      <c r="M126" s="403"/>
      <c r="N126" s="403"/>
      <c r="O126" s="403"/>
      <c r="P126" s="403"/>
      <c r="Q126" s="403"/>
      <c r="R126" s="403"/>
      <c r="S126" s="403"/>
      <c r="T126" s="403"/>
      <c r="U126" s="403"/>
      <c r="V126" s="403"/>
      <c r="W126" s="403"/>
      <c r="X126" s="403"/>
      <c r="Y126" s="403"/>
      <c r="Z126" s="403"/>
      <c r="AA126" s="403"/>
      <c r="AB126" s="403"/>
      <c r="AC126" s="403"/>
      <c r="AD126" s="403"/>
    </row>
    <row r="127" spans="1:30" ht="15.5">
      <c r="A127" s="404" t="s">
        <v>49</v>
      </c>
      <c r="B127" s="404" t="s">
        <v>47</v>
      </c>
      <c r="C127" s="404" t="s">
        <v>47</v>
      </c>
      <c r="D127" s="404" t="s">
        <v>47</v>
      </c>
      <c r="E127" s="410"/>
      <c r="F127" s="405" t="s">
        <v>28</v>
      </c>
      <c r="G127" s="411">
        <v>0</v>
      </c>
      <c r="H127" s="407">
        <f>G127/$G$7</f>
        <v>0</v>
      </c>
      <c r="I127" s="412"/>
      <c r="J127" s="460"/>
      <c r="K127" s="412"/>
      <c r="L127" s="412"/>
      <c r="M127" s="412"/>
      <c r="N127" s="412"/>
      <c r="O127" s="412"/>
      <c r="P127" s="412"/>
      <c r="Q127" s="412"/>
      <c r="R127" s="412"/>
      <c r="S127" s="412"/>
      <c r="T127" s="412"/>
      <c r="U127" s="412"/>
      <c r="V127" s="412"/>
      <c r="W127" s="412"/>
      <c r="X127" s="412"/>
      <c r="Y127" s="412"/>
      <c r="Z127" s="412"/>
      <c r="AA127" s="412"/>
      <c r="AB127" s="412"/>
      <c r="AC127" s="412"/>
      <c r="AD127" s="412"/>
    </row>
    <row r="128" spans="1:30" ht="15.5">
      <c r="A128" s="413"/>
      <c r="B128" s="449"/>
      <c r="C128" s="449"/>
      <c r="D128" s="449"/>
      <c r="E128" s="413"/>
      <c r="F128" s="450"/>
      <c r="G128" s="451"/>
      <c r="H128" s="399"/>
      <c r="I128" s="403"/>
      <c r="J128" s="458"/>
      <c r="K128" s="403"/>
      <c r="L128" s="403"/>
      <c r="M128" s="403"/>
      <c r="N128" s="403"/>
      <c r="O128" s="403"/>
      <c r="P128" s="403"/>
      <c r="Q128" s="403"/>
      <c r="R128" s="403"/>
      <c r="S128" s="403"/>
      <c r="T128" s="403"/>
      <c r="U128" s="403"/>
      <c r="V128" s="403"/>
      <c r="W128" s="403"/>
      <c r="X128" s="403"/>
      <c r="Y128" s="403"/>
      <c r="Z128" s="403"/>
      <c r="AA128" s="403"/>
      <c r="AB128" s="403"/>
      <c r="AC128" s="403"/>
      <c r="AD128" s="403"/>
    </row>
    <row r="129" spans="1:30" ht="15.5">
      <c r="A129" s="410"/>
      <c r="B129" s="404" t="s">
        <v>46</v>
      </c>
      <c r="C129" s="404" t="s">
        <v>47</v>
      </c>
      <c r="D129" s="404" t="s">
        <v>47</v>
      </c>
      <c r="E129" s="410"/>
      <c r="F129" s="405" t="s">
        <v>29</v>
      </c>
      <c r="G129" s="411">
        <v>0</v>
      </c>
      <c r="H129" s="407">
        <v>0</v>
      </c>
      <c r="I129" s="412"/>
      <c r="J129" s="460"/>
      <c r="K129" s="412"/>
      <c r="L129" s="412"/>
      <c r="M129" s="412"/>
      <c r="N129" s="412"/>
      <c r="O129" s="412"/>
      <c r="P129" s="412"/>
      <c r="Q129" s="412"/>
      <c r="R129" s="412"/>
      <c r="S129" s="412"/>
      <c r="T129" s="412"/>
      <c r="U129" s="412"/>
      <c r="V129" s="412"/>
      <c r="W129" s="412"/>
      <c r="X129" s="412"/>
      <c r="Y129" s="412"/>
      <c r="Z129" s="412"/>
      <c r="AA129" s="412"/>
      <c r="AB129" s="412"/>
      <c r="AC129" s="412"/>
      <c r="AD129" s="412"/>
    </row>
    <row r="130" spans="1:30" ht="15.5">
      <c r="A130" s="413"/>
      <c r="B130" s="413"/>
      <c r="C130" s="396"/>
      <c r="D130" s="396"/>
      <c r="E130" s="413"/>
      <c r="F130" s="400"/>
      <c r="G130" s="414"/>
      <c r="H130" s="428"/>
      <c r="I130" s="403"/>
      <c r="J130" s="458"/>
      <c r="K130" s="403"/>
      <c r="L130" s="403"/>
      <c r="M130" s="403"/>
      <c r="N130" s="403"/>
      <c r="O130" s="403"/>
      <c r="P130" s="403"/>
      <c r="Q130" s="403"/>
      <c r="R130" s="403"/>
      <c r="S130" s="403"/>
      <c r="T130" s="403"/>
      <c r="U130" s="403"/>
      <c r="V130" s="403"/>
      <c r="W130" s="403"/>
      <c r="X130" s="403"/>
      <c r="Y130" s="403"/>
      <c r="Z130" s="403"/>
      <c r="AA130" s="403"/>
      <c r="AB130" s="403"/>
      <c r="AC130" s="403"/>
      <c r="AD130" s="403"/>
    </row>
    <row r="131" spans="1:30" ht="15.5">
      <c r="A131" s="413"/>
      <c r="B131" s="413"/>
      <c r="C131" s="396" t="s">
        <v>47</v>
      </c>
      <c r="D131" s="396" t="s">
        <v>46</v>
      </c>
      <c r="E131" s="413"/>
      <c r="F131" s="400" t="s">
        <v>86</v>
      </c>
      <c r="G131" s="414">
        <v>0</v>
      </c>
      <c r="H131" s="428">
        <v>0</v>
      </c>
      <c r="I131" s="403"/>
      <c r="J131" s="458"/>
      <c r="K131" s="403"/>
      <c r="L131" s="403"/>
      <c r="M131" s="403"/>
      <c r="N131" s="403"/>
      <c r="O131" s="403"/>
      <c r="P131" s="403"/>
      <c r="Q131" s="403"/>
      <c r="R131" s="403"/>
      <c r="S131" s="403"/>
      <c r="T131" s="403"/>
      <c r="U131" s="403"/>
      <c r="V131" s="403"/>
      <c r="W131" s="403"/>
      <c r="X131" s="403"/>
      <c r="Y131" s="403"/>
      <c r="Z131" s="403"/>
      <c r="AA131" s="403"/>
      <c r="AB131" s="403"/>
      <c r="AC131" s="403"/>
      <c r="AD131" s="403"/>
    </row>
    <row r="132" spans="1:30" ht="15.5">
      <c r="A132" s="413"/>
      <c r="B132" s="413"/>
      <c r="C132" s="396"/>
      <c r="D132" s="396"/>
      <c r="E132" s="413"/>
      <c r="F132" s="400"/>
      <c r="G132" s="414"/>
      <c r="H132" s="428"/>
      <c r="I132" s="403"/>
      <c r="J132" s="458"/>
      <c r="K132" s="403"/>
      <c r="L132" s="403"/>
      <c r="M132" s="403"/>
      <c r="N132" s="403"/>
      <c r="O132" s="403"/>
      <c r="P132" s="403"/>
      <c r="Q132" s="403"/>
      <c r="R132" s="403"/>
      <c r="S132" s="403"/>
      <c r="T132" s="403"/>
      <c r="U132" s="403"/>
      <c r="V132" s="403"/>
      <c r="W132" s="403"/>
      <c r="X132" s="403"/>
      <c r="Y132" s="403"/>
      <c r="Z132" s="403"/>
      <c r="AA132" s="403"/>
      <c r="AB132" s="403"/>
      <c r="AC132" s="403"/>
      <c r="AD132" s="403"/>
    </row>
    <row r="133" spans="1:30" ht="15.5">
      <c r="A133" s="413"/>
      <c r="B133" s="413"/>
      <c r="C133" s="396" t="s">
        <v>47</v>
      </c>
      <c r="D133" s="396" t="s">
        <v>49</v>
      </c>
      <c r="E133" s="413"/>
      <c r="F133" s="400" t="s">
        <v>122</v>
      </c>
      <c r="G133" s="414">
        <v>0</v>
      </c>
      <c r="H133" s="428">
        <v>0</v>
      </c>
      <c r="I133" s="403"/>
      <c r="J133" s="458"/>
      <c r="K133" s="403"/>
      <c r="L133" s="403"/>
      <c r="M133" s="403"/>
      <c r="N133" s="403"/>
      <c r="O133" s="403"/>
      <c r="P133" s="403"/>
      <c r="Q133" s="403"/>
      <c r="R133" s="403"/>
      <c r="S133" s="403"/>
      <c r="T133" s="403"/>
      <c r="U133" s="403"/>
      <c r="V133" s="403"/>
      <c r="W133" s="403"/>
      <c r="X133" s="403"/>
      <c r="Y133" s="403"/>
      <c r="Z133" s="403"/>
      <c r="AA133" s="403"/>
      <c r="AB133" s="403"/>
      <c r="AC133" s="403"/>
      <c r="AD133" s="403"/>
    </row>
    <row r="134" spans="1:30" ht="15.5">
      <c r="A134" s="413"/>
      <c r="B134" s="413"/>
      <c r="C134" s="396"/>
      <c r="D134" s="396"/>
      <c r="E134" s="413"/>
      <c r="F134" s="400"/>
      <c r="G134" s="414"/>
      <c r="H134" s="428"/>
      <c r="I134" s="403"/>
      <c r="J134" s="458"/>
      <c r="K134" s="403"/>
      <c r="L134" s="403"/>
      <c r="M134" s="403"/>
      <c r="N134" s="403"/>
      <c r="O134" s="403"/>
      <c r="P134" s="403"/>
      <c r="Q134" s="403"/>
      <c r="R134" s="403"/>
      <c r="S134" s="403"/>
      <c r="T134" s="403"/>
      <c r="U134" s="403"/>
      <c r="V134" s="403"/>
      <c r="W134" s="403"/>
      <c r="X134" s="403"/>
      <c r="Y134" s="403"/>
      <c r="Z134" s="403"/>
      <c r="AA134" s="403"/>
      <c r="AB134" s="403"/>
      <c r="AC134" s="403"/>
      <c r="AD134" s="403"/>
    </row>
    <row r="135" spans="1:30" ht="15.5">
      <c r="A135" s="413"/>
      <c r="B135" s="413"/>
      <c r="C135" s="396" t="s">
        <v>47</v>
      </c>
      <c r="D135" s="396" t="s">
        <v>53</v>
      </c>
      <c r="E135" s="413"/>
      <c r="F135" s="400" t="s">
        <v>88</v>
      </c>
      <c r="G135" s="414">
        <v>0</v>
      </c>
      <c r="H135" s="428">
        <v>0</v>
      </c>
      <c r="I135" s="403"/>
      <c r="J135" s="458"/>
      <c r="K135" s="403"/>
      <c r="L135" s="403"/>
      <c r="M135" s="403"/>
      <c r="N135" s="403"/>
      <c r="O135" s="403"/>
      <c r="P135" s="403"/>
      <c r="Q135" s="403"/>
      <c r="R135" s="403"/>
      <c r="S135" s="403"/>
      <c r="T135" s="403"/>
      <c r="U135" s="403"/>
      <c r="V135" s="403"/>
      <c r="W135" s="403"/>
      <c r="X135" s="403"/>
      <c r="Y135" s="403"/>
      <c r="Z135" s="403"/>
      <c r="AA135" s="403"/>
      <c r="AB135" s="403"/>
      <c r="AC135" s="403"/>
      <c r="AD135" s="403"/>
    </row>
    <row r="136" spans="1:30" ht="15.5">
      <c r="A136" s="396"/>
      <c r="B136" s="396"/>
      <c r="C136" s="396"/>
      <c r="D136" s="396"/>
      <c r="E136" s="396"/>
      <c r="F136" s="400"/>
      <c r="G136" s="414"/>
      <c r="H136" s="400"/>
      <c r="I136" s="403"/>
      <c r="J136" s="458"/>
      <c r="K136" s="403"/>
      <c r="L136" s="403"/>
      <c r="M136" s="403"/>
      <c r="N136" s="403"/>
      <c r="O136" s="403"/>
      <c r="P136" s="403"/>
      <c r="Q136" s="403"/>
      <c r="R136" s="403"/>
      <c r="S136" s="403"/>
      <c r="T136" s="403"/>
      <c r="U136" s="403"/>
      <c r="V136" s="403"/>
      <c r="W136" s="403"/>
      <c r="X136" s="403"/>
      <c r="Y136" s="403"/>
      <c r="Z136" s="403"/>
      <c r="AA136" s="403"/>
      <c r="AB136" s="403"/>
      <c r="AC136" s="403"/>
      <c r="AD136" s="403"/>
    </row>
    <row r="137" spans="1:30" ht="15.5">
      <c r="A137" s="396"/>
      <c r="B137" s="396"/>
      <c r="C137" s="396" t="s">
        <v>47</v>
      </c>
      <c r="D137" s="396" t="s">
        <v>54</v>
      </c>
      <c r="E137" s="396"/>
      <c r="F137" s="400" t="s">
        <v>123</v>
      </c>
      <c r="G137" s="414">
        <v>0</v>
      </c>
      <c r="H137" s="428">
        <v>0</v>
      </c>
      <c r="I137" s="403"/>
      <c r="J137" s="458"/>
      <c r="K137" s="403"/>
      <c r="L137" s="403"/>
      <c r="M137" s="403"/>
      <c r="N137" s="403"/>
      <c r="O137" s="403"/>
      <c r="P137" s="403"/>
      <c r="Q137" s="403"/>
      <c r="R137" s="403"/>
      <c r="S137" s="403"/>
      <c r="T137" s="403"/>
      <c r="U137" s="403"/>
      <c r="V137" s="403"/>
      <c r="W137" s="403"/>
      <c r="X137" s="403"/>
      <c r="Y137" s="403"/>
      <c r="Z137" s="403"/>
      <c r="AA137" s="403"/>
      <c r="AB137" s="403"/>
      <c r="AC137" s="403"/>
      <c r="AD137" s="403"/>
    </row>
    <row r="138" spans="1:30" ht="15.5">
      <c r="A138" s="396"/>
      <c r="B138" s="396"/>
      <c r="C138" s="396"/>
      <c r="D138" s="396"/>
      <c r="E138" s="396"/>
      <c r="F138" s="400"/>
      <c r="G138" s="414"/>
      <c r="H138" s="400"/>
      <c r="I138" s="403"/>
      <c r="J138" s="458"/>
      <c r="K138" s="403"/>
      <c r="L138" s="403"/>
      <c r="M138" s="403"/>
      <c r="N138" s="403"/>
      <c r="O138" s="403"/>
      <c r="P138" s="403"/>
      <c r="Q138" s="403"/>
      <c r="R138" s="403"/>
      <c r="S138" s="403"/>
      <c r="T138" s="403"/>
      <c r="U138" s="403"/>
      <c r="V138" s="403"/>
      <c r="W138" s="403"/>
      <c r="X138" s="403"/>
      <c r="Y138" s="403"/>
      <c r="Z138" s="403"/>
      <c r="AA138" s="403"/>
      <c r="AB138" s="403"/>
      <c r="AC138" s="403"/>
      <c r="AD138" s="403"/>
    </row>
    <row r="139" spans="1:30" ht="15.5">
      <c r="A139" s="413"/>
      <c r="B139" s="413"/>
      <c r="C139" s="396" t="s">
        <v>51</v>
      </c>
      <c r="D139" s="396" t="s">
        <v>51</v>
      </c>
      <c r="E139" s="413"/>
      <c r="F139" s="400" t="s">
        <v>52</v>
      </c>
      <c r="G139" s="414">
        <v>0</v>
      </c>
      <c r="H139" s="428">
        <v>0</v>
      </c>
      <c r="I139" s="403"/>
      <c r="J139" s="458"/>
      <c r="K139" s="403"/>
      <c r="L139" s="403"/>
      <c r="M139" s="403"/>
      <c r="N139" s="403"/>
      <c r="O139" s="403"/>
      <c r="P139" s="403"/>
      <c r="Q139" s="403"/>
      <c r="R139" s="403"/>
      <c r="S139" s="403"/>
      <c r="T139" s="403"/>
      <c r="U139" s="403"/>
      <c r="V139" s="403"/>
      <c r="W139" s="403"/>
      <c r="X139" s="403"/>
      <c r="Y139" s="403"/>
      <c r="Z139" s="403"/>
      <c r="AA139" s="403"/>
      <c r="AB139" s="403"/>
      <c r="AC139" s="403"/>
      <c r="AD139" s="403"/>
    </row>
    <row r="140" spans="1:30" ht="15.5">
      <c r="A140" s="396"/>
      <c r="B140" s="396"/>
      <c r="C140" s="396"/>
      <c r="D140" s="396"/>
      <c r="E140" s="396"/>
      <c r="F140" s="400"/>
      <c r="G140" s="414"/>
      <c r="H140" s="400"/>
      <c r="I140" s="403"/>
      <c r="J140" s="458"/>
      <c r="K140" s="403"/>
      <c r="L140" s="403"/>
      <c r="M140" s="403"/>
      <c r="N140" s="403"/>
      <c r="O140" s="403"/>
      <c r="P140" s="403"/>
      <c r="Q140" s="403"/>
      <c r="R140" s="403"/>
      <c r="S140" s="403"/>
      <c r="T140" s="403"/>
      <c r="U140" s="403"/>
      <c r="V140" s="403"/>
      <c r="W140" s="403"/>
      <c r="X140" s="403"/>
      <c r="Y140" s="403"/>
      <c r="Z140" s="403"/>
      <c r="AA140" s="403"/>
      <c r="AB140" s="403"/>
      <c r="AC140" s="403"/>
      <c r="AD140" s="403"/>
    </row>
    <row r="141" spans="1:30" ht="15.5">
      <c r="A141" s="404" t="s">
        <v>53</v>
      </c>
      <c r="B141" s="404" t="s">
        <v>47</v>
      </c>
      <c r="C141" s="404" t="s">
        <v>47</v>
      </c>
      <c r="D141" s="404" t="s">
        <v>47</v>
      </c>
      <c r="E141" s="410"/>
      <c r="F141" s="405" t="s">
        <v>30</v>
      </c>
      <c r="G141" s="411">
        <f>G143</f>
        <v>0</v>
      </c>
      <c r="H141" s="407">
        <f>G141/$G$7</f>
        <v>0</v>
      </c>
      <c r="I141" s="412"/>
      <c r="J141" s="460"/>
      <c r="K141" s="412"/>
      <c r="L141" s="412"/>
      <c r="M141" s="412"/>
      <c r="N141" s="412"/>
      <c r="O141" s="412"/>
      <c r="P141" s="412"/>
      <c r="Q141" s="412"/>
      <c r="R141" s="412"/>
      <c r="S141" s="412"/>
      <c r="T141" s="412"/>
      <c r="U141" s="412"/>
      <c r="V141" s="412"/>
      <c r="W141" s="412"/>
      <c r="X141" s="412"/>
      <c r="Y141" s="412"/>
      <c r="Z141" s="412"/>
      <c r="AA141" s="412"/>
      <c r="AB141" s="412"/>
      <c r="AC141" s="412"/>
      <c r="AD141" s="412"/>
    </row>
    <row r="142" spans="1:30" ht="15.5">
      <c r="A142" s="413"/>
      <c r="B142" s="449"/>
      <c r="C142" s="449"/>
      <c r="D142" s="449"/>
      <c r="E142" s="413"/>
      <c r="F142" s="450"/>
      <c r="G142" s="451"/>
      <c r="H142" s="399"/>
      <c r="I142" s="403"/>
      <c r="J142" s="458" t="s">
        <v>124</v>
      </c>
      <c r="K142" s="403"/>
      <c r="L142" s="403"/>
      <c r="M142" s="403"/>
      <c r="N142" s="403"/>
      <c r="O142" s="403"/>
      <c r="P142" s="403"/>
      <c r="Q142" s="403"/>
      <c r="R142" s="403"/>
      <c r="S142" s="403"/>
      <c r="T142" s="403"/>
      <c r="U142" s="403"/>
      <c r="V142" s="403"/>
      <c r="W142" s="403"/>
      <c r="X142" s="403"/>
      <c r="Y142" s="403"/>
      <c r="Z142" s="403"/>
      <c r="AA142" s="403"/>
      <c r="AB142" s="403"/>
      <c r="AC142" s="403"/>
      <c r="AD142" s="403"/>
    </row>
    <row r="143" spans="1:30" ht="15.5">
      <c r="A143" s="410"/>
      <c r="B143" s="404" t="s">
        <v>46</v>
      </c>
      <c r="C143" s="404" t="s">
        <v>47</v>
      </c>
      <c r="D143" s="404" t="s">
        <v>47</v>
      </c>
      <c r="E143" s="410"/>
      <c r="F143" s="405" t="s">
        <v>31</v>
      </c>
      <c r="G143" s="411">
        <f>G145+G147</f>
        <v>0</v>
      </c>
      <c r="H143" s="407">
        <v>0</v>
      </c>
      <c r="I143" s="412"/>
      <c r="J143" s="460"/>
      <c r="K143" s="412"/>
      <c r="L143" s="412"/>
      <c r="M143" s="412"/>
      <c r="N143" s="412"/>
      <c r="O143" s="412"/>
      <c r="P143" s="412"/>
      <c r="Q143" s="412"/>
      <c r="R143" s="412"/>
      <c r="S143" s="412"/>
      <c r="T143" s="412"/>
      <c r="U143" s="412"/>
      <c r="V143" s="412"/>
      <c r="W143" s="412"/>
      <c r="X143" s="412"/>
      <c r="Y143" s="412"/>
      <c r="Z143" s="412"/>
      <c r="AA143" s="412"/>
      <c r="AB143" s="412"/>
      <c r="AC143" s="412"/>
      <c r="AD143" s="412"/>
    </row>
    <row r="144" spans="1:30" ht="15.5">
      <c r="A144" s="413"/>
      <c r="B144" s="413"/>
      <c r="C144" s="396"/>
      <c r="D144" s="396"/>
      <c r="E144" s="413"/>
      <c r="F144" s="400"/>
      <c r="G144" s="414"/>
      <c r="H144" s="428"/>
      <c r="I144" s="403"/>
      <c r="J144" s="458"/>
      <c r="K144" s="403"/>
      <c r="L144" s="403"/>
      <c r="M144" s="403"/>
      <c r="N144" s="403"/>
      <c r="O144" s="403"/>
      <c r="P144" s="403"/>
      <c r="Q144" s="403"/>
      <c r="R144" s="403"/>
      <c r="S144" s="403"/>
      <c r="T144" s="403"/>
      <c r="U144" s="403"/>
      <c r="V144" s="403"/>
      <c r="W144" s="403"/>
      <c r="X144" s="403"/>
      <c r="Y144" s="403"/>
      <c r="Z144" s="403"/>
      <c r="AA144" s="403"/>
      <c r="AB144" s="403"/>
      <c r="AC144" s="403"/>
      <c r="AD144" s="403"/>
    </row>
    <row r="145" spans="1:30" ht="15.5">
      <c r="A145" s="413"/>
      <c r="B145" s="413"/>
      <c r="C145" s="396" t="s">
        <v>47</v>
      </c>
      <c r="D145" s="396" t="s">
        <v>46</v>
      </c>
      <c r="E145" s="413"/>
      <c r="F145" s="400" t="s">
        <v>89</v>
      </c>
      <c r="G145" s="414">
        <v>0</v>
      </c>
      <c r="H145" s="428">
        <v>0</v>
      </c>
      <c r="I145" s="403"/>
      <c r="J145" s="458"/>
      <c r="K145" s="403"/>
      <c r="L145" s="403"/>
      <c r="M145" s="403"/>
      <c r="N145" s="403"/>
      <c r="O145" s="403"/>
      <c r="P145" s="403"/>
      <c r="Q145" s="403"/>
      <c r="R145" s="403"/>
      <c r="S145" s="403"/>
      <c r="T145" s="403"/>
      <c r="U145" s="403"/>
      <c r="V145" s="403"/>
      <c r="W145" s="403"/>
      <c r="X145" s="403"/>
      <c r="Y145" s="403"/>
      <c r="Z145" s="403"/>
      <c r="AA145" s="403"/>
      <c r="AB145" s="403"/>
      <c r="AC145" s="403"/>
      <c r="AD145" s="403"/>
    </row>
    <row r="146" spans="1:30" ht="15.5">
      <c r="A146" s="413"/>
      <c r="B146" s="413"/>
      <c r="C146" s="396"/>
      <c r="D146" s="396"/>
      <c r="E146" s="413"/>
      <c r="F146" s="400"/>
      <c r="G146" s="414"/>
      <c r="H146" s="428"/>
      <c r="I146" s="403"/>
      <c r="J146" s="458"/>
      <c r="K146" s="403"/>
      <c r="L146" s="403"/>
      <c r="M146" s="403"/>
      <c r="N146" s="403"/>
      <c r="O146" s="403"/>
      <c r="P146" s="403"/>
      <c r="Q146" s="403"/>
      <c r="R146" s="403"/>
      <c r="S146" s="403"/>
      <c r="T146" s="403"/>
      <c r="U146" s="403"/>
      <c r="V146" s="403"/>
      <c r="W146" s="403"/>
      <c r="X146" s="403"/>
      <c r="Y146" s="403"/>
      <c r="Z146" s="403"/>
      <c r="AA146" s="403"/>
      <c r="AB146" s="403"/>
      <c r="AC146" s="403"/>
      <c r="AD146" s="403"/>
    </row>
    <row r="147" spans="1:30" ht="15.5">
      <c r="A147" s="413"/>
      <c r="B147" s="413"/>
      <c r="C147" s="396" t="s">
        <v>51</v>
      </c>
      <c r="D147" s="396" t="s">
        <v>51</v>
      </c>
      <c r="E147" s="413"/>
      <c r="F147" s="400" t="s">
        <v>52</v>
      </c>
      <c r="G147" s="414">
        <v>0</v>
      </c>
      <c r="H147" s="428">
        <v>0</v>
      </c>
      <c r="I147" s="403"/>
      <c r="J147" s="458"/>
      <c r="K147" s="403"/>
      <c r="L147" s="403"/>
      <c r="M147" s="403"/>
      <c r="N147" s="403"/>
      <c r="O147" s="403"/>
      <c r="P147" s="403"/>
      <c r="Q147" s="403"/>
      <c r="R147" s="403"/>
      <c r="S147" s="403"/>
      <c r="T147" s="403"/>
      <c r="U147" s="403"/>
      <c r="V147" s="403"/>
      <c r="W147" s="403"/>
      <c r="X147" s="403"/>
      <c r="Y147" s="403"/>
      <c r="Z147" s="403"/>
      <c r="AA147" s="403"/>
      <c r="AB147" s="403"/>
      <c r="AC147" s="403"/>
      <c r="AD147" s="403"/>
    </row>
    <row r="148" spans="1:30" ht="15.5">
      <c r="A148" s="396"/>
      <c r="B148" s="396"/>
      <c r="C148" s="396"/>
      <c r="D148" s="396"/>
      <c r="E148" s="396"/>
      <c r="F148" s="400"/>
      <c r="G148" s="414"/>
      <c r="H148" s="452"/>
      <c r="I148" s="403"/>
      <c r="J148" s="458"/>
      <c r="K148" s="403"/>
      <c r="L148" s="403"/>
      <c r="M148" s="403"/>
      <c r="N148" s="403"/>
      <c r="O148" s="403"/>
      <c r="P148" s="403"/>
      <c r="Q148" s="403"/>
      <c r="R148" s="403"/>
      <c r="S148" s="403"/>
      <c r="T148" s="403"/>
      <c r="U148" s="403"/>
      <c r="V148" s="403"/>
      <c r="W148" s="403"/>
      <c r="X148" s="403"/>
      <c r="Y148" s="403"/>
      <c r="Z148" s="403"/>
      <c r="AA148" s="403"/>
      <c r="AB148" s="403"/>
      <c r="AC148" s="403"/>
      <c r="AD148" s="403"/>
    </row>
    <row r="149" spans="1:30" ht="15.5">
      <c r="A149" s="396"/>
      <c r="B149" s="396"/>
      <c r="C149" s="396"/>
      <c r="D149" s="396"/>
      <c r="E149" s="396"/>
      <c r="F149" s="400"/>
      <c r="G149" s="414"/>
      <c r="H149" s="452"/>
      <c r="I149" s="403"/>
      <c r="J149" s="458"/>
      <c r="K149" s="403"/>
      <c r="L149" s="403"/>
      <c r="M149" s="403"/>
      <c r="N149" s="403"/>
      <c r="O149" s="403"/>
      <c r="P149" s="403"/>
      <c r="Q149" s="403"/>
      <c r="R149" s="403"/>
      <c r="S149" s="403"/>
      <c r="T149" s="403"/>
      <c r="U149" s="403"/>
      <c r="V149" s="403"/>
      <c r="W149" s="403"/>
      <c r="X149" s="403"/>
      <c r="Y149" s="403"/>
      <c r="Z149" s="403"/>
      <c r="AA149" s="403"/>
      <c r="AB149" s="403"/>
      <c r="AC149" s="403"/>
      <c r="AD149" s="403"/>
    </row>
    <row r="150" spans="1:30" ht="15.5">
      <c r="A150" s="467"/>
      <c r="B150" s="467"/>
      <c r="C150" s="467"/>
      <c r="D150" s="467"/>
      <c r="E150" s="467"/>
      <c r="F150" s="468"/>
      <c r="G150" s="469"/>
      <c r="H150" s="470"/>
      <c r="I150" s="471"/>
      <c r="J150" s="458"/>
      <c r="K150" s="403"/>
      <c r="L150" s="403"/>
      <c r="M150" s="403"/>
      <c r="N150" s="403"/>
      <c r="O150" s="403"/>
      <c r="P150" s="403"/>
      <c r="Q150" s="403"/>
      <c r="R150" s="403"/>
      <c r="S150" s="403"/>
      <c r="T150" s="403"/>
      <c r="U150" s="403"/>
      <c r="V150" s="403"/>
      <c r="W150" s="403"/>
      <c r="X150" s="403"/>
      <c r="Y150" s="403"/>
      <c r="Z150" s="403"/>
      <c r="AA150" s="403"/>
      <c r="AB150" s="403"/>
      <c r="AC150" s="403"/>
      <c r="AD150" s="403"/>
    </row>
  </sheetData>
  <mergeCells count="9">
    <mergeCell ref="I5:I6"/>
    <mergeCell ref="J5:J6"/>
    <mergeCell ref="A1:J1"/>
    <mergeCell ref="A2:J2"/>
    <mergeCell ref="A3:J3"/>
    <mergeCell ref="A4:H4"/>
    <mergeCell ref="I4:J4"/>
    <mergeCell ref="A5:D5"/>
    <mergeCell ref="E5:F5"/>
  </mergeCells>
  <phoneticPr fontId="30" type="noConversion"/>
  <printOptions horizontalCentered="1"/>
  <pageMargins left="0.25" right="0.25" top="0.75" bottom="0.75" header="0" footer="0"/>
  <pageSetup paperSize="9" pageOrder="overThenDown" orientation="portrait" cellComments="atEnd"/>
  <headerFooter>
    <oddFooter>&amp;L&amp;A&amp;R&amp;P</oddFooter>
  </headerFooter>
  <rowBreaks count="6" manualBreakCount="6">
    <brk id="103" man="1"/>
    <brk id="70" man="1"/>
    <brk id="88" man="1"/>
    <brk id="40" man="1"/>
    <brk id="126" man="1"/>
    <brk id="29" man="1"/>
  </rowBreaks>
  <colBreaks count="1" manualBreakCount="1">
    <brk id="1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D416"/>
  <sheetViews>
    <sheetView zoomScale="75" zoomScaleNormal="75" workbookViewId="0">
      <pane ySplit="6" topLeftCell="A7" activePane="bottomLeft" state="frozen"/>
      <selection pane="bottomLeft" activeCell="F8" sqref="F8"/>
    </sheetView>
  </sheetViews>
  <sheetFormatPr defaultColWidth="12.6328125" defaultRowHeight="15.75" customHeight="1"/>
  <cols>
    <col min="1" max="1" width="2.453125" customWidth="1"/>
    <col min="2" max="2" width="2.7265625" customWidth="1"/>
    <col min="3" max="3" width="3" customWidth="1"/>
    <col min="4" max="4" width="2.7265625" customWidth="1"/>
    <col min="5" max="5" width="5.08984375" customWidth="1"/>
    <col min="6" max="6" width="56.81640625" customWidth="1"/>
    <col min="7" max="7" width="13.6328125" customWidth="1"/>
    <col min="8" max="8" width="11.6328125" customWidth="1"/>
    <col min="9" max="9" width="133.81640625" customWidth="1"/>
    <col min="10" max="30" width="29.26953125" customWidth="1"/>
  </cols>
  <sheetData>
    <row r="1" spans="1:30" ht="18">
      <c r="A1" s="542" t="s">
        <v>0</v>
      </c>
      <c r="B1" s="509"/>
      <c r="C1" s="509"/>
      <c r="D1" s="509"/>
      <c r="E1" s="509"/>
      <c r="F1" s="509"/>
      <c r="G1" s="509"/>
      <c r="H1" s="509"/>
      <c r="I1" s="509"/>
      <c r="J1" s="509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</row>
    <row r="2" spans="1:30" ht="18">
      <c r="A2" s="543" t="s">
        <v>125</v>
      </c>
      <c r="B2" s="509"/>
      <c r="C2" s="509"/>
      <c r="D2" s="509"/>
      <c r="E2" s="509"/>
      <c r="F2" s="509"/>
      <c r="G2" s="509"/>
      <c r="H2" s="509"/>
      <c r="I2" s="509"/>
      <c r="J2" s="509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</row>
    <row r="3" spans="1:30" ht="15.5">
      <c r="A3" s="520" t="s">
        <v>2</v>
      </c>
      <c r="B3" s="509"/>
      <c r="C3" s="509"/>
      <c r="D3" s="509"/>
      <c r="E3" s="509"/>
      <c r="F3" s="509"/>
      <c r="G3" s="509"/>
      <c r="H3" s="509"/>
      <c r="I3" s="509"/>
      <c r="J3" s="50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5.5">
      <c r="A4" s="544" t="s">
        <v>39</v>
      </c>
      <c r="B4" s="545"/>
      <c r="C4" s="545"/>
      <c r="D4" s="546"/>
      <c r="E4" s="544" t="s">
        <v>40</v>
      </c>
      <c r="F4" s="546"/>
      <c r="G4" s="178" t="s">
        <v>92</v>
      </c>
      <c r="H4" s="179" t="s">
        <v>92</v>
      </c>
      <c r="I4" s="547" t="s">
        <v>12</v>
      </c>
      <c r="J4" s="549" t="s">
        <v>93</v>
      </c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</row>
    <row r="5" spans="1:30" ht="15.5">
      <c r="A5" s="149" t="s">
        <v>10</v>
      </c>
      <c r="B5" s="180" t="s">
        <v>11</v>
      </c>
      <c r="C5" s="150" t="s">
        <v>34</v>
      </c>
      <c r="D5" s="149" t="s">
        <v>36</v>
      </c>
      <c r="E5" s="181" t="s">
        <v>44</v>
      </c>
      <c r="F5" s="182" t="s">
        <v>45</v>
      </c>
      <c r="G5" s="182" t="s">
        <v>13</v>
      </c>
      <c r="H5" s="183" t="s">
        <v>14</v>
      </c>
      <c r="I5" s="548"/>
      <c r="J5" s="509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165"/>
      <c r="AD5" s="165"/>
    </row>
    <row r="6" spans="1:30" ht="15.5">
      <c r="A6" s="184"/>
      <c r="B6" s="185"/>
      <c r="C6" s="185"/>
      <c r="D6" s="185"/>
      <c r="E6" s="146"/>
      <c r="F6" s="186" t="s">
        <v>15</v>
      </c>
      <c r="G6" s="187">
        <f>G8+G347+G395</f>
        <v>1843758.2105263157</v>
      </c>
      <c r="H6" s="188">
        <v>1</v>
      </c>
      <c r="I6" s="189"/>
      <c r="J6" s="190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67"/>
    </row>
    <row r="7" spans="1:30" ht="15.5">
      <c r="A7" s="149"/>
      <c r="B7" s="150"/>
      <c r="C7" s="150"/>
      <c r="D7" s="150"/>
      <c r="E7" s="146"/>
      <c r="F7" s="191"/>
      <c r="G7" s="192"/>
      <c r="H7" s="193"/>
      <c r="I7" s="194"/>
      <c r="J7" s="195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68"/>
      <c r="AC7" s="168"/>
      <c r="AD7" s="168"/>
    </row>
    <row r="8" spans="1:30" ht="15.5">
      <c r="A8" s="196" t="s">
        <v>46</v>
      </c>
      <c r="B8" s="197" t="s">
        <v>47</v>
      </c>
      <c r="C8" s="197" t="s">
        <v>47</v>
      </c>
      <c r="D8" s="197" t="s">
        <v>47</v>
      </c>
      <c r="E8" s="198"/>
      <c r="F8" s="199" t="s">
        <v>16</v>
      </c>
      <c r="G8" s="200">
        <f>G10+G29+G48+G61+G74+G171+G211+G225+G269+G321</f>
        <v>1565084.3157894737</v>
      </c>
      <c r="H8" s="201">
        <f>G8/$G$6</f>
        <v>0.84885550982452718</v>
      </c>
      <c r="I8" s="202"/>
      <c r="J8" s="203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4"/>
      <c r="AC8" s="204"/>
      <c r="AD8" s="204"/>
    </row>
    <row r="9" spans="1:30" ht="15.5">
      <c r="A9" s="149"/>
      <c r="B9" s="150"/>
      <c r="C9" s="150"/>
      <c r="D9" s="150"/>
      <c r="E9" s="146"/>
      <c r="F9" s="194"/>
      <c r="G9" s="205"/>
      <c r="H9" s="206"/>
      <c r="I9" s="194"/>
      <c r="J9" s="195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</row>
    <row r="10" spans="1:30" ht="15.5">
      <c r="A10" s="207"/>
      <c r="B10" s="208" t="s">
        <v>46</v>
      </c>
      <c r="C10" s="208" t="s">
        <v>47</v>
      </c>
      <c r="D10" s="208" t="s">
        <v>47</v>
      </c>
      <c r="E10" s="209"/>
      <c r="F10" s="210" t="s">
        <v>17</v>
      </c>
      <c r="G10" s="211">
        <f>G11+G25+G20</f>
        <v>126421.05263157895</v>
      </c>
      <c r="H10" s="212">
        <f>G10/$G$8</f>
        <v>8.0775873450503854E-2</v>
      </c>
      <c r="I10" s="210"/>
      <c r="J10" s="213"/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</row>
    <row r="11" spans="1:30" ht="15.5">
      <c r="A11" s="215"/>
      <c r="B11" s="216"/>
      <c r="C11" s="216" t="s">
        <v>47</v>
      </c>
      <c r="D11" s="216" t="s">
        <v>46</v>
      </c>
      <c r="E11" s="217"/>
      <c r="F11" s="218" t="s">
        <v>48</v>
      </c>
      <c r="G11" s="219">
        <f>SUM(G12:G18)</f>
        <v>104700</v>
      </c>
      <c r="H11" s="220">
        <f>G11/$G$10</f>
        <v>0.82818484596169861</v>
      </c>
      <c r="I11" s="221"/>
      <c r="J11" s="222"/>
      <c r="K11" s="223"/>
      <c r="L11" s="223"/>
      <c r="M11" s="223"/>
      <c r="N11" s="223"/>
      <c r="O11" s="223"/>
      <c r="P11" s="223"/>
      <c r="Q11" s="223"/>
      <c r="R11" s="223"/>
      <c r="S11" s="223"/>
      <c r="T11" s="223"/>
      <c r="U11" s="223"/>
      <c r="V11" s="223"/>
      <c r="W11" s="223"/>
      <c r="X11" s="223"/>
      <c r="Y11" s="223"/>
      <c r="Z11" s="223"/>
      <c r="AA11" s="223"/>
      <c r="AB11" s="223"/>
      <c r="AC11" s="223"/>
      <c r="AD11" s="223"/>
    </row>
    <row r="12" spans="1:30" ht="15.5">
      <c r="A12" s="149"/>
      <c r="B12" s="150"/>
      <c r="C12" s="150"/>
      <c r="D12" s="150"/>
      <c r="E12" s="146" t="s">
        <v>126</v>
      </c>
      <c r="F12" s="224" t="s">
        <v>127</v>
      </c>
      <c r="G12" s="225">
        <v>55200</v>
      </c>
      <c r="H12" s="226">
        <f>G12/$G$11</f>
        <v>0.52722063037249278</v>
      </c>
      <c r="I12" s="227" t="s">
        <v>128</v>
      </c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</row>
    <row r="13" spans="1:30" ht="15.5">
      <c r="A13" s="149"/>
      <c r="B13" s="150"/>
      <c r="C13" s="150"/>
      <c r="D13" s="150"/>
      <c r="E13" s="146"/>
      <c r="F13" s="224"/>
      <c r="G13" s="225"/>
      <c r="H13" s="226"/>
      <c r="I13" s="227" t="s">
        <v>129</v>
      </c>
      <c r="J13" s="228"/>
      <c r="K13" s="228"/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  <c r="AA13" s="228"/>
      <c r="AB13" s="228"/>
      <c r="AC13" s="228"/>
      <c r="AD13" s="228"/>
    </row>
    <row r="14" spans="1:30" ht="15.5">
      <c r="A14" s="149"/>
      <c r="B14" s="150"/>
      <c r="C14" s="150"/>
      <c r="D14" s="150"/>
      <c r="E14" s="146" t="s">
        <v>130</v>
      </c>
      <c r="F14" s="224" t="s">
        <v>131</v>
      </c>
      <c r="G14" s="225">
        <v>18000</v>
      </c>
      <c r="H14" s="226">
        <f t="shared" ref="H14:H15" si="0">G14/$G$11</f>
        <v>0.17191977077363896</v>
      </c>
      <c r="I14" s="227" t="s">
        <v>132</v>
      </c>
      <c r="J14" s="195"/>
      <c r="K14" s="229"/>
      <c r="L14" s="230"/>
      <c r="M14" s="231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  <c r="AA14" s="168"/>
      <c r="AB14" s="168"/>
      <c r="AC14" s="168"/>
      <c r="AD14" s="168"/>
    </row>
    <row r="15" spans="1:30" ht="15.5">
      <c r="A15" s="149"/>
      <c r="B15" s="150"/>
      <c r="C15" s="150"/>
      <c r="D15" s="150"/>
      <c r="E15" s="146" t="s">
        <v>133</v>
      </c>
      <c r="F15" s="241" t="s">
        <v>134</v>
      </c>
      <c r="G15" s="225">
        <v>1000</v>
      </c>
      <c r="H15" s="226">
        <f t="shared" si="0"/>
        <v>9.5510983763132766E-3</v>
      </c>
      <c r="I15" s="227" t="s">
        <v>135</v>
      </c>
      <c r="J15" s="195"/>
      <c r="K15" s="229"/>
      <c r="L15" s="230"/>
      <c r="M15" s="231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</row>
    <row r="16" spans="1:30" ht="46.5">
      <c r="A16" s="149"/>
      <c r="B16" s="150"/>
      <c r="C16" s="150"/>
      <c r="D16" s="150"/>
      <c r="E16" s="170" t="s">
        <v>136</v>
      </c>
      <c r="F16" s="482" t="s">
        <v>450</v>
      </c>
      <c r="G16" s="483">
        <v>15000</v>
      </c>
      <c r="H16" s="484">
        <f>G16/$G$11</f>
        <v>0.14326647564469913</v>
      </c>
      <c r="I16" s="148" t="s">
        <v>137</v>
      </c>
      <c r="J16" s="195"/>
      <c r="K16" s="229"/>
      <c r="L16" s="230"/>
      <c r="M16" s="231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</row>
    <row r="17" spans="1:30" ht="15.5">
      <c r="A17" s="149"/>
      <c r="B17" s="150"/>
      <c r="C17" s="150"/>
      <c r="D17" s="150"/>
      <c r="E17" s="146" t="s">
        <v>138</v>
      </c>
      <c r="F17" s="224" t="s">
        <v>139</v>
      </c>
      <c r="G17" s="225">
        <v>500</v>
      </c>
      <c r="H17" s="480">
        <f t="shared" ref="H17:H18" si="1">G17/$G$11</f>
        <v>4.7755491881566383E-3</v>
      </c>
      <c r="I17" s="227" t="s">
        <v>140</v>
      </c>
      <c r="J17" s="195"/>
      <c r="K17" s="229"/>
      <c r="L17" s="230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  <c r="AB17" s="168"/>
      <c r="AC17" s="168"/>
      <c r="AD17" s="168"/>
    </row>
    <row r="18" spans="1:30" ht="15.5">
      <c r="A18" s="149"/>
      <c r="B18" s="150"/>
      <c r="C18" s="150"/>
      <c r="D18" s="150"/>
      <c r="E18" s="146" t="s">
        <v>141</v>
      </c>
      <c r="F18" s="224" t="s">
        <v>142</v>
      </c>
      <c r="G18" s="225">
        <v>15000</v>
      </c>
      <c r="H18" s="226">
        <f t="shared" si="1"/>
        <v>0.14326647564469913</v>
      </c>
      <c r="I18" s="227" t="s">
        <v>143</v>
      </c>
      <c r="J18" s="195"/>
      <c r="K18" s="229"/>
      <c r="L18" s="230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</row>
    <row r="19" spans="1:30" ht="15.5">
      <c r="A19" s="149"/>
      <c r="B19" s="150"/>
      <c r="C19" s="150"/>
      <c r="D19" s="150"/>
      <c r="E19" s="146"/>
      <c r="F19" s="224"/>
      <c r="G19" s="232"/>
      <c r="H19" s="226"/>
      <c r="I19" s="227" t="s">
        <v>144</v>
      </c>
      <c r="J19" s="195"/>
      <c r="K19" s="229"/>
      <c r="L19" s="230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</row>
    <row r="20" spans="1:30" ht="15.5">
      <c r="A20" s="233"/>
      <c r="B20" s="234"/>
      <c r="C20" s="234" t="s">
        <v>47</v>
      </c>
      <c r="D20" s="234" t="s">
        <v>49</v>
      </c>
      <c r="E20" s="235"/>
      <c r="F20" s="236" t="s">
        <v>50</v>
      </c>
      <c r="G20" s="237">
        <f>SUM(G21:G23)</f>
        <v>15400</v>
      </c>
      <c r="H20" s="238">
        <f>G20/G10</f>
        <v>0.12181515403830141</v>
      </c>
      <c r="I20" s="239"/>
      <c r="J20" s="195"/>
      <c r="K20" s="229"/>
      <c r="L20" s="230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</row>
    <row r="21" spans="1:30" ht="15.5">
      <c r="A21" s="149"/>
      <c r="B21" s="150"/>
      <c r="C21" s="150"/>
      <c r="D21" s="150"/>
      <c r="E21" s="240" t="s">
        <v>126</v>
      </c>
      <c r="F21" s="241" t="s">
        <v>127</v>
      </c>
      <c r="G21" s="225">
        <v>9600</v>
      </c>
      <c r="H21" s="242">
        <f>G21/G20</f>
        <v>0.62337662337662336</v>
      </c>
      <c r="I21" s="227" t="s">
        <v>145</v>
      </c>
      <c r="J21" s="195"/>
      <c r="K21" s="229"/>
      <c r="L21" s="230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</row>
    <row r="22" spans="1:30" ht="15.5">
      <c r="A22" s="149"/>
      <c r="B22" s="150"/>
      <c r="C22" s="150"/>
      <c r="D22" s="150"/>
      <c r="E22" s="240" t="s">
        <v>146</v>
      </c>
      <c r="F22" s="241" t="s">
        <v>147</v>
      </c>
      <c r="G22" s="225">
        <v>1000</v>
      </c>
      <c r="H22" s="242">
        <f>G22/G20</f>
        <v>6.4935064935064929E-2</v>
      </c>
      <c r="I22" s="227" t="s">
        <v>148</v>
      </c>
      <c r="J22" s="195"/>
      <c r="K22" s="229"/>
      <c r="L22" s="230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  <c r="AD22" s="168"/>
    </row>
    <row r="23" spans="1:30" ht="15.5">
      <c r="A23" s="149"/>
      <c r="B23" s="150"/>
      <c r="C23" s="150"/>
      <c r="D23" s="150"/>
      <c r="E23" s="240" t="s">
        <v>149</v>
      </c>
      <c r="F23" s="241" t="s">
        <v>150</v>
      </c>
      <c r="G23" s="225">
        <v>4800</v>
      </c>
      <c r="H23" s="242">
        <f>G23/G20</f>
        <v>0.31168831168831168</v>
      </c>
      <c r="I23" s="227" t="s">
        <v>151</v>
      </c>
      <c r="J23" s="195"/>
      <c r="K23" s="229"/>
      <c r="L23" s="230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  <c r="AA23" s="168"/>
      <c r="AB23" s="168"/>
      <c r="AC23" s="168"/>
      <c r="AD23" s="168"/>
    </row>
    <row r="24" spans="1:30" ht="15.5">
      <c r="A24" s="149"/>
      <c r="B24" s="150"/>
      <c r="C24" s="150"/>
      <c r="D24" s="150"/>
      <c r="E24" s="146"/>
      <c r="F24" s="224"/>
      <c r="G24" s="225"/>
      <c r="H24" s="226"/>
      <c r="I24" s="227"/>
      <c r="J24" s="195"/>
      <c r="K24" s="229"/>
      <c r="L24" s="230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168"/>
      <c r="AC24" s="168"/>
      <c r="AD24" s="168"/>
    </row>
    <row r="25" spans="1:30" ht="15.5">
      <c r="A25" s="149"/>
      <c r="B25" s="234"/>
      <c r="C25" s="234" t="s">
        <v>51</v>
      </c>
      <c r="D25" s="234" t="s">
        <v>51</v>
      </c>
      <c r="E25" s="243"/>
      <c r="F25" s="218" t="s">
        <v>52</v>
      </c>
      <c r="G25" s="219">
        <f>(G11+G20)/95*5</f>
        <v>6321.0526315789466</v>
      </c>
      <c r="H25" s="220">
        <f>G25/G10</f>
        <v>4.9999999999999996E-2</v>
      </c>
      <c r="I25" s="221" t="s">
        <v>152</v>
      </c>
      <c r="J25" s="244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  <c r="AA25" s="245"/>
      <c r="AB25" s="245"/>
      <c r="AC25" s="245"/>
      <c r="AD25" s="245"/>
    </row>
    <row r="26" spans="1:30" ht="15.5">
      <c r="A26" s="149"/>
      <c r="B26" s="150"/>
      <c r="C26" s="150"/>
      <c r="D26" s="150"/>
      <c r="E26" s="146"/>
      <c r="F26" s="224"/>
      <c r="G26" s="246"/>
      <c r="H26" s="247"/>
      <c r="I26" s="194"/>
      <c r="J26" s="195"/>
      <c r="K26" s="229"/>
      <c r="L26" s="230"/>
      <c r="M26" s="231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  <c r="AA26" s="168"/>
      <c r="AB26" s="168"/>
      <c r="AC26" s="168"/>
      <c r="AD26" s="168"/>
    </row>
    <row r="27" spans="1:30" ht="15.5">
      <c r="A27" s="149"/>
      <c r="B27" s="150"/>
      <c r="C27" s="150"/>
      <c r="D27" s="150"/>
      <c r="E27" s="146"/>
      <c r="F27" s="150"/>
      <c r="G27" s="246"/>
      <c r="H27" s="247"/>
      <c r="I27" s="247"/>
      <c r="J27" s="195"/>
      <c r="K27" s="229"/>
      <c r="L27" s="230"/>
      <c r="M27" s="231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68"/>
      <c r="AC27" s="168"/>
      <c r="AD27" s="168"/>
    </row>
    <row r="28" spans="1:30" ht="15.5">
      <c r="A28" s="248"/>
      <c r="B28" s="249"/>
      <c r="C28" s="249"/>
      <c r="D28" s="249"/>
      <c r="E28" s="175"/>
      <c r="F28" s="250"/>
      <c r="G28" s="251"/>
      <c r="H28" s="252"/>
      <c r="I28" s="252"/>
      <c r="J28" s="253"/>
      <c r="K28" s="254"/>
      <c r="L28" s="254"/>
      <c r="M28" s="254"/>
      <c r="N28" s="254"/>
      <c r="O28" s="254"/>
      <c r="P28" s="254"/>
      <c r="Q28" s="254"/>
      <c r="R28" s="254"/>
      <c r="S28" s="254"/>
      <c r="T28" s="254"/>
      <c r="U28" s="254"/>
      <c r="V28" s="254"/>
      <c r="W28" s="254"/>
      <c r="X28" s="254"/>
      <c r="Y28" s="254"/>
      <c r="Z28" s="254"/>
      <c r="AA28" s="254"/>
      <c r="AB28" s="254"/>
      <c r="AC28" s="254"/>
      <c r="AD28" s="254"/>
    </row>
    <row r="29" spans="1:30" ht="15.5">
      <c r="A29" s="207"/>
      <c r="B29" s="208" t="s">
        <v>49</v>
      </c>
      <c r="C29" s="208" t="s">
        <v>47</v>
      </c>
      <c r="D29" s="208" t="s">
        <v>47</v>
      </c>
      <c r="E29" s="209"/>
      <c r="F29" s="210" t="s">
        <v>18</v>
      </c>
      <c r="G29" s="255">
        <f>G30+G44</f>
        <v>84105.263157894733</v>
      </c>
      <c r="H29" s="212">
        <f>G29/$G$8</f>
        <v>5.3738486999960519E-2</v>
      </c>
      <c r="I29" s="210"/>
      <c r="J29" s="213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  <c r="AA29" s="214"/>
      <c r="AB29" s="214"/>
      <c r="AC29" s="214"/>
      <c r="AD29" s="214"/>
    </row>
    <row r="30" spans="1:30" ht="15.5">
      <c r="A30" s="149"/>
      <c r="B30" s="234"/>
      <c r="C30" s="234" t="s">
        <v>47</v>
      </c>
      <c r="D30" s="234" t="s">
        <v>46</v>
      </c>
      <c r="E30" s="243"/>
      <c r="F30" s="221" t="s">
        <v>48</v>
      </c>
      <c r="G30" s="256">
        <f>SUM(G31:G43)</f>
        <v>79900</v>
      </c>
      <c r="H30" s="220">
        <f>G30/$G$29</f>
        <v>0.95000000000000007</v>
      </c>
      <c r="I30" s="221"/>
      <c r="J30" s="244"/>
      <c r="K30" s="245"/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  <c r="AA30" s="245"/>
      <c r="AB30" s="245"/>
      <c r="AC30" s="245"/>
      <c r="AD30" s="245"/>
    </row>
    <row r="31" spans="1:30" ht="15.5">
      <c r="A31" s="149"/>
      <c r="B31" s="150"/>
      <c r="C31" s="150"/>
      <c r="D31" s="150"/>
      <c r="E31" s="240" t="s">
        <v>126</v>
      </c>
      <c r="F31" s="241" t="s">
        <v>127</v>
      </c>
      <c r="G31" s="225">
        <v>20000</v>
      </c>
      <c r="H31" s="226">
        <f>G31/$G$30</f>
        <v>0.25031289111389238</v>
      </c>
      <c r="I31" s="227" t="s">
        <v>153</v>
      </c>
      <c r="J31" s="260"/>
      <c r="K31" s="258"/>
      <c r="L31" s="258"/>
      <c r="M31" s="258"/>
      <c r="N31" s="258"/>
      <c r="O31" s="258"/>
      <c r="P31" s="258"/>
      <c r="Q31" s="258"/>
      <c r="R31" s="258"/>
      <c r="S31" s="258"/>
      <c r="T31" s="258"/>
      <c r="U31" s="258"/>
      <c r="V31" s="258"/>
      <c r="W31" s="258"/>
      <c r="X31" s="258"/>
      <c r="Y31" s="258"/>
      <c r="Z31" s="258"/>
      <c r="AA31" s="258"/>
      <c r="AB31" s="258"/>
      <c r="AC31" s="258"/>
      <c r="AD31" s="258"/>
    </row>
    <row r="32" spans="1:30" ht="15.5">
      <c r="A32" s="149"/>
      <c r="B32" s="150"/>
      <c r="C32" s="150"/>
      <c r="D32" s="150"/>
      <c r="E32" s="240"/>
      <c r="F32" s="241"/>
      <c r="G32" s="225"/>
      <c r="H32" s="226"/>
      <c r="I32" s="227" t="s">
        <v>154</v>
      </c>
      <c r="J32" s="260"/>
      <c r="K32" s="258"/>
      <c r="L32" s="258"/>
      <c r="M32" s="258"/>
      <c r="N32" s="258"/>
      <c r="O32" s="258"/>
      <c r="P32" s="258"/>
      <c r="Q32" s="258"/>
      <c r="R32" s="258"/>
      <c r="S32" s="258"/>
      <c r="T32" s="258"/>
      <c r="U32" s="258"/>
      <c r="V32" s="258"/>
      <c r="W32" s="258"/>
      <c r="X32" s="258"/>
      <c r="Y32" s="258"/>
      <c r="Z32" s="258"/>
      <c r="AA32" s="258"/>
      <c r="AB32" s="258"/>
      <c r="AC32" s="258"/>
      <c r="AD32" s="258"/>
    </row>
    <row r="33" spans="1:30" ht="15.5">
      <c r="A33" s="149"/>
      <c r="B33" s="150"/>
      <c r="C33" s="150"/>
      <c r="D33" s="150"/>
      <c r="E33" s="146"/>
      <c r="F33" s="241"/>
      <c r="G33" s="225"/>
      <c r="H33" s="226"/>
      <c r="I33" s="227" t="s">
        <v>155</v>
      </c>
      <c r="J33" s="260"/>
      <c r="K33" s="258"/>
      <c r="L33" s="258"/>
      <c r="M33" s="258"/>
      <c r="N33" s="258"/>
      <c r="O33" s="258"/>
      <c r="P33" s="258"/>
      <c r="Q33" s="258"/>
      <c r="R33" s="258"/>
      <c r="S33" s="258"/>
      <c r="T33" s="258"/>
      <c r="U33" s="258"/>
      <c r="V33" s="258"/>
      <c r="W33" s="258"/>
      <c r="X33" s="258"/>
      <c r="Y33" s="258"/>
      <c r="Z33" s="258"/>
      <c r="AA33" s="258"/>
      <c r="AB33" s="258"/>
      <c r="AC33" s="258"/>
      <c r="AD33" s="258"/>
    </row>
    <row r="34" spans="1:30" ht="15.5">
      <c r="A34" s="149"/>
      <c r="B34" s="150"/>
      <c r="C34" s="150"/>
      <c r="D34" s="150"/>
      <c r="E34" s="240"/>
      <c r="F34" s="241"/>
      <c r="G34" s="225"/>
      <c r="H34" s="226"/>
      <c r="I34" s="227" t="s">
        <v>156</v>
      </c>
      <c r="J34" s="260"/>
      <c r="K34" s="258"/>
      <c r="L34" s="258"/>
      <c r="M34" s="258"/>
      <c r="N34" s="258"/>
      <c r="O34" s="258"/>
      <c r="P34" s="258"/>
      <c r="Q34" s="258"/>
      <c r="R34" s="258"/>
      <c r="S34" s="258"/>
      <c r="T34" s="258"/>
      <c r="U34" s="258"/>
      <c r="V34" s="258"/>
      <c r="W34" s="258"/>
      <c r="X34" s="258"/>
      <c r="Y34" s="258"/>
      <c r="Z34" s="258"/>
      <c r="AA34" s="258"/>
      <c r="AB34" s="258"/>
      <c r="AC34" s="258"/>
      <c r="AD34" s="258"/>
    </row>
    <row r="35" spans="1:30" ht="15.5">
      <c r="A35" s="149"/>
      <c r="B35" s="150"/>
      <c r="C35" s="150"/>
      <c r="D35" s="150"/>
      <c r="E35" s="240" t="s">
        <v>130</v>
      </c>
      <c r="F35" s="241" t="s">
        <v>131</v>
      </c>
      <c r="G35" s="225">
        <v>3000</v>
      </c>
      <c r="H35" s="226">
        <f t="shared" ref="H35:H43" si="2">G35/$G$30</f>
        <v>3.7546933667083858E-2</v>
      </c>
      <c r="I35" s="227" t="s">
        <v>157</v>
      </c>
      <c r="J35" s="260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8"/>
      <c r="AB35" s="168"/>
      <c r="AC35" s="168"/>
      <c r="AD35" s="168"/>
    </row>
    <row r="36" spans="1:30" ht="17.25" customHeight="1">
      <c r="A36" s="149"/>
      <c r="B36" s="150"/>
      <c r="C36" s="150"/>
      <c r="D36" s="150"/>
      <c r="E36" s="146" t="s">
        <v>158</v>
      </c>
      <c r="F36" s="194" t="s">
        <v>159</v>
      </c>
      <c r="G36" s="259">
        <v>3000</v>
      </c>
      <c r="H36" s="226">
        <f t="shared" si="2"/>
        <v>3.7546933667083858E-2</v>
      </c>
      <c r="I36" s="227" t="s">
        <v>160</v>
      </c>
      <c r="J36" s="260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</row>
    <row r="37" spans="1:30" ht="17.25" customHeight="1">
      <c r="A37" s="149"/>
      <c r="B37" s="150"/>
      <c r="C37" s="150"/>
      <c r="D37" s="150"/>
      <c r="E37" s="146" t="s">
        <v>133</v>
      </c>
      <c r="F37" s="194" t="s">
        <v>134</v>
      </c>
      <c r="G37" s="259">
        <v>300</v>
      </c>
      <c r="H37" s="226">
        <f t="shared" si="2"/>
        <v>3.7546933667083854E-3</v>
      </c>
      <c r="I37" s="227" t="s">
        <v>161</v>
      </c>
      <c r="J37" s="260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</row>
    <row r="38" spans="1:30" ht="17.25" customHeight="1">
      <c r="A38" s="149"/>
      <c r="B38" s="150"/>
      <c r="C38" s="150"/>
      <c r="D38" s="150"/>
      <c r="E38" s="146" t="s">
        <v>162</v>
      </c>
      <c r="F38" s="194" t="s">
        <v>163</v>
      </c>
      <c r="G38" s="259">
        <v>30000</v>
      </c>
      <c r="H38" s="226">
        <f t="shared" si="2"/>
        <v>0.37546933667083854</v>
      </c>
      <c r="I38" s="227" t="s">
        <v>164</v>
      </c>
      <c r="J38" s="260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</row>
    <row r="39" spans="1:30" ht="17.25" customHeight="1">
      <c r="A39" s="149"/>
      <c r="B39" s="150"/>
      <c r="C39" s="150"/>
      <c r="D39" s="150"/>
      <c r="E39" s="146" t="s">
        <v>165</v>
      </c>
      <c r="F39" s="194" t="s">
        <v>166</v>
      </c>
      <c r="G39" s="259">
        <v>100</v>
      </c>
      <c r="H39" s="226">
        <f t="shared" si="2"/>
        <v>1.2515644555694619E-3</v>
      </c>
      <c r="I39" s="227" t="s">
        <v>167</v>
      </c>
      <c r="J39" s="260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167"/>
      <c r="AA39" s="167"/>
      <c r="AB39" s="167"/>
      <c r="AC39" s="167"/>
      <c r="AD39" s="167"/>
    </row>
    <row r="40" spans="1:30" ht="17.25" customHeight="1">
      <c r="A40" s="149"/>
      <c r="B40" s="150"/>
      <c r="C40" s="150"/>
      <c r="D40" s="150"/>
      <c r="E40" s="146" t="s">
        <v>168</v>
      </c>
      <c r="F40" s="194" t="s">
        <v>169</v>
      </c>
      <c r="G40" s="259">
        <v>8000</v>
      </c>
      <c r="H40" s="226">
        <f t="shared" si="2"/>
        <v>0.10012515644555695</v>
      </c>
      <c r="I40" s="227" t="s">
        <v>170</v>
      </c>
      <c r="J40" s="260"/>
      <c r="K40" s="167"/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7"/>
      <c r="Y40" s="167"/>
      <c r="Z40" s="167"/>
      <c r="AA40" s="167"/>
      <c r="AB40" s="167"/>
      <c r="AC40" s="167"/>
      <c r="AD40" s="167"/>
    </row>
    <row r="41" spans="1:30" ht="17.25" customHeight="1">
      <c r="A41" s="149"/>
      <c r="B41" s="150"/>
      <c r="C41" s="150"/>
      <c r="D41" s="150"/>
      <c r="E41" s="146" t="s">
        <v>138</v>
      </c>
      <c r="F41" s="194" t="s">
        <v>139</v>
      </c>
      <c r="G41" s="259">
        <v>500</v>
      </c>
      <c r="H41" s="226">
        <f t="shared" si="2"/>
        <v>6.2578222778473091E-3</v>
      </c>
      <c r="I41" s="227" t="s">
        <v>171</v>
      </c>
      <c r="J41" s="260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D41" s="167"/>
    </row>
    <row r="42" spans="1:30" ht="17.25" customHeight="1">
      <c r="A42" s="149"/>
      <c r="B42" s="150"/>
      <c r="C42" s="150"/>
      <c r="D42" s="150"/>
      <c r="E42" s="146" t="s">
        <v>141</v>
      </c>
      <c r="F42" s="194" t="s">
        <v>142</v>
      </c>
      <c r="G42" s="259">
        <v>10000</v>
      </c>
      <c r="H42" s="226">
        <f t="shared" si="2"/>
        <v>0.12515644555694619</v>
      </c>
      <c r="I42" s="227" t="s">
        <v>172</v>
      </c>
      <c r="J42" s="260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</row>
    <row r="43" spans="1:30" ht="17.25" customHeight="1">
      <c r="A43" s="149"/>
      <c r="B43" s="150"/>
      <c r="C43" s="150"/>
      <c r="D43" s="150"/>
      <c r="E43" s="146" t="s">
        <v>173</v>
      </c>
      <c r="F43" s="194" t="s">
        <v>174</v>
      </c>
      <c r="G43" s="259">
        <v>5000</v>
      </c>
      <c r="H43" s="226">
        <f t="shared" si="2"/>
        <v>6.2578222778473094E-2</v>
      </c>
      <c r="I43" s="227" t="s">
        <v>175</v>
      </c>
      <c r="J43" s="260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  <c r="AA43" s="167"/>
      <c r="AB43" s="167"/>
      <c r="AC43" s="167"/>
      <c r="AD43" s="167"/>
    </row>
    <row r="44" spans="1:30" ht="15.5">
      <c r="A44" s="149"/>
      <c r="B44" s="234"/>
      <c r="C44" s="234" t="s">
        <v>51</v>
      </c>
      <c r="D44" s="234" t="s">
        <v>51</v>
      </c>
      <c r="E44" s="243"/>
      <c r="F44" s="221" t="s">
        <v>52</v>
      </c>
      <c r="G44" s="261">
        <f>(G30)/95*5</f>
        <v>4205.2631578947367</v>
      </c>
      <c r="H44" s="220">
        <f>G44/$G$29</f>
        <v>0.05</v>
      </c>
      <c r="I44" s="262" t="s">
        <v>152</v>
      </c>
      <c r="J44" s="244"/>
      <c r="K44" s="245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  <c r="AA44" s="245"/>
      <c r="AB44" s="245"/>
      <c r="AC44" s="245"/>
      <c r="AD44" s="245"/>
    </row>
    <row r="45" spans="1:30" ht="15.5">
      <c r="A45" s="149"/>
      <c r="B45" s="150"/>
      <c r="C45" s="150"/>
      <c r="D45" s="150"/>
      <c r="E45" s="146"/>
      <c r="F45" s="194"/>
      <c r="G45" s="263"/>
      <c r="H45" s="247"/>
      <c r="I45" s="194"/>
      <c r="J45" s="195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  <c r="AA45" s="168"/>
      <c r="AB45" s="168"/>
      <c r="AC45" s="168"/>
      <c r="AD45" s="168"/>
    </row>
    <row r="46" spans="1:30" ht="15.5">
      <c r="A46" s="149"/>
      <c r="B46" s="150"/>
      <c r="C46" s="150"/>
      <c r="D46" s="150"/>
      <c r="E46" s="146"/>
      <c r="F46" s="194"/>
      <c r="G46" s="263"/>
      <c r="H46" s="247"/>
      <c r="I46" s="194"/>
      <c r="J46" s="195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  <c r="AA46" s="168"/>
      <c r="AB46" s="168"/>
      <c r="AC46" s="168"/>
      <c r="AD46" s="168"/>
    </row>
    <row r="47" spans="1:30" ht="15.5">
      <c r="A47" s="149"/>
      <c r="B47" s="150"/>
      <c r="C47" s="150"/>
      <c r="D47" s="150"/>
      <c r="E47" s="146"/>
      <c r="F47" s="224"/>
      <c r="G47" s="246"/>
      <c r="H47" s="247"/>
      <c r="I47" s="194"/>
      <c r="J47" s="195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8"/>
    </row>
    <row r="48" spans="1:30" ht="15.5">
      <c r="A48" s="207"/>
      <c r="B48" s="208" t="s">
        <v>53</v>
      </c>
      <c r="C48" s="208" t="s">
        <v>47</v>
      </c>
      <c r="D48" s="208" t="s">
        <v>47</v>
      </c>
      <c r="E48" s="209"/>
      <c r="F48" s="210" t="s">
        <v>19</v>
      </c>
      <c r="G48" s="255">
        <f>G49+G57</f>
        <v>24053</v>
      </c>
      <c r="H48" s="212">
        <f>G48/$G$8</f>
        <v>1.5368501081596344E-2</v>
      </c>
      <c r="I48" s="210"/>
      <c r="J48" s="213"/>
      <c r="K48" s="214"/>
      <c r="L48" s="214"/>
      <c r="M48" s="214"/>
      <c r="N48" s="214"/>
      <c r="O48" s="214"/>
      <c r="P48" s="214"/>
      <c r="Q48" s="214"/>
      <c r="R48" s="214"/>
      <c r="S48" s="214"/>
      <c r="T48" s="214"/>
      <c r="U48" s="214"/>
      <c r="V48" s="214"/>
      <c r="W48" s="214"/>
      <c r="X48" s="214"/>
      <c r="Y48" s="214"/>
      <c r="Z48" s="214"/>
      <c r="AA48" s="214"/>
      <c r="AB48" s="214"/>
      <c r="AC48" s="214"/>
      <c r="AD48" s="214"/>
    </row>
    <row r="49" spans="1:30" ht="15.5">
      <c r="A49" s="149"/>
      <c r="B49" s="234"/>
      <c r="C49" s="234" t="s">
        <v>47</v>
      </c>
      <c r="D49" s="234" t="s">
        <v>46</v>
      </c>
      <c r="E49" s="243"/>
      <c r="F49" s="221" t="s">
        <v>48</v>
      </c>
      <c r="G49" s="256">
        <f>SUM(G50:G56)</f>
        <v>22850</v>
      </c>
      <c r="H49" s="220">
        <f>G49/$G$48</f>
        <v>0.94998544880056546</v>
      </c>
      <c r="I49" s="221"/>
      <c r="J49" s="264"/>
      <c r="K49" s="265"/>
      <c r="L49" s="265"/>
      <c r="M49" s="265"/>
      <c r="N49" s="265"/>
      <c r="O49" s="265"/>
      <c r="P49" s="265"/>
      <c r="Q49" s="265"/>
      <c r="R49" s="265"/>
      <c r="S49" s="265"/>
      <c r="T49" s="265"/>
      <c r="U49" s="265"/>
      <c r="V49" s="265"/>
      <c r="W49" s="265"/>
      <c r="X49" s="265"/>
      <c r="Y49" s="265"/>
      <c r="Z49" s="265"/>
      <c r="AA49" s="265"/>
      <c r="AB49" s="265"/>
      <c r="AC49" s="265"/>
      <c r="AD49" s="265"/>
    </row>
    <row r="50" spans="1:30" ht="15.5">
      <c r="A50" s="149"/>
      <c r="B50" s="150"/>
      <c r="C50" s="150"/>
      <c r="D50" s="150"/>
      <c r="E50" s="146" t="s">
        <v>126</v>
      </c>
      <c r="F50" s="194" t="s">
        <v>127</v>
      </c>
      <c r="G50" s="266">
        <v>18400</v>
      </c>
      <c r="H50" s="226">
        <f>G50/$G$49</f>
        <v>0.80525164113785563</v>
      </c>
      <c r="I50" s="194" t="s">
        <v>176</v>
      </c>
      <c r="J50" s="195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  <c r="AA50" s="168"/>
      <c r="AB50" s="168"/>
      <c r="AC50" s="168"/>
      <c r="AD50" s="168"/>
    </row>
    <row r="51" spans="1:30" ht="15.5">
      <c r="A51" s="149"/>
      <c r="B51" s="150"/>
      <c r="C51" s="150"/>
      <c r="D51" s="150"/>
      <c r="E51" s="146"/>
      <c r="F51" s="194"/>
      <c r="G51" s="266"/>
      <c r="H51" s="267"/>
      <c r="I51" s="194" t="s">
        <v>177</v>
      </c>
      <c r="J51" s="260"/>
      <c r="K51" s="167"/>
      <c r="L51" s="167"/>
      <c r="M51" s="167"/>
      <c r="N51" s="167"/>
      <c r="O51" s="167"/>
      <c r="P51" s="167"/>
      <c r="Q51" s="167"/>
      <c r="R51" s="167"/>
      <c r="S51" s="167"/>
      <c r="T51" s="167"/>
      <c r="U51" s="167"/>
      <c r="V51" s="167"/>
      <c r="W51" s="167"/>
      <c r="X51" s="167"/>
      <c r="Y51" s="167"/>
      <c r="Z51" s="167"/>
      <c r="AA51" s="167"/>
      <c r="AB51" s="167"/>
      <c r="AC51" s="167"/>
      <c r="AD51" s="167"/>
    </row>
    <row r="52" spans="1:30" ht="15.5">
      <c r="A52" s="149"/>
      <c r="B52" s="150"/>
      <c r="C52" s="150"/>
      <c r="D52" s="150"/>
      <c r="E52" s="146"/>
      <c r="F52" s="194"/>
      <c r="G52" s="266"/>
      <c r="H52" s="267"/>
      <c r="I52" s="194" t="s">
        <v>178</v>
      </c>
      <c r="J52" s="260"/>
      <c r="K52" s="167"/>
      <c r="L52" s="167"/>
      <c r="M52" s="167"/>
      <c r="N52" s="167"/>
      <c r="O52" s="167"/>
      <c r="P52" s="167"/>
      <c r="Q52" s="167"/>
      <c r="R52" s="167"/>
      <c r="S52" s="167"/>
      <c r="T52" s="167"/>
      <c r="U52" s="167"/>
      <c r="V52" s="167"/>
      <c r="W52" s="167"/>
      <c r="X52" s="167"/>
      <c r="Y52" s="167"/>
      <c r="Z52" s="167"/>
      <c r="AA52" s="167"/>
      <c r="AB52" s="167"/>
      <c r="AC52" s="167"/>
      <c r="AD52" s="167"/>
    </row>
    <row r="53" spans="1:30" ht="15.5">
      <c r="A53" s="149"/>
      <c r="B53" s="150"/>
      <c r="C53" s="150"/>
      <c r="D53" s="150"/>
      <c r="E53" s="146" t="s">
        <v>130</v>
      </c>
      <c r="F53" s="194" t="s">
        <v>131</v>
      </c>
      <c r="G53" s="266">
        <v>3000</v>
      </c>
      <c r="H53" s="226">
        <f t="shared" ref="H53:H56" si="3">G53/$G$49</f>
        <v>0.13129102844638948</v>
      </c>
      <c r="I53" s="194" t="s">
        <v>157</v>
      </c>
      <c r="J53" s="195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8"/>
    </row>
    <row r="54" spans="1:30" ht="15.5">
      <c r="A54" s="149"/>
      <c r="B54" s="150"/>
      <c r="C54" s="150"/>
      <c r="D54" s="150"/>
      <c r="E54" s="146" t="s">
        <v>149</v>
      </c>
      <c r="F54" s="268" t="s">
        <v>179</v>
      </c>
      <c r="G54" s="266">
        <v>650</v>
      </c>
      <c r="H54" s="226">
        <f t="shared" si="3"/>
        <v>2.8446389496717725E-2</v>
      </c>
      <c r="I54" s="168" t="s">
        <v>180</v>
      </c>
      <c r="J54" s="195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  <c r="AC54" s="168"/>
      <c r="AD54" s="168"/>
    </row>
    <row r="55" spans="1:30" ht="15.5">
      <c r="A55" s="149"/>
      <c r="B55" s="150"/>
      <c r="C55" s="150"/>
      <c r="D55" s="150"/>
      <c r="E55" s="146" t="s">
        <v>165</v>
      </c>
      <c r="F55" s="194" t="s">
        <v>166</v>
      </c>
      <c r="G55" s="266">
        <v>300</v>
      </c>
      <c r="H55" s="226">
        <f t="shared" si="3"/>
        <v>1.3129102844638949E-2</v>
      </c>
      <c r="I55" s="168" t="s">
        <v>181</v>
      </c>
      <c r="J55" s="195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8"/>
      <c r="AB55" s="168"/>
      <c r="AC55" s="168"/>
      <c r="AD55" s="168"/>
    </row>
    <row r="56" spans="1:30" ht="15.5">
      <c r="A56" s="149"/>
      <c r="B56" s="150"/>
      <c r="C56" s="150"/>
      <c r="D56" s="150"/>
      <c r="E56" s="146" t="s">
        <v>138</v>
      </c>
      <c r="F56" s="194" t="s">
        <v>139</v>
      </c>
      <c r="G56" s="266">
        <v>500</v>
      </c>
      <c r="H56" s="226">
        <f t="shared" si="3"/>
        <v>2.1881838074398249E-2</v>
      </c>
      <c r="I56" s="168" t="s">
        <v>140</v>
      </c>
      <c r="J56" s="195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8"/>
    </row>
    <row r="57" spans="1:30" ht="15.5">
      <c r="A57" s="149"/>
      <c r="B57" s="234"/>
      <c r="C57" s="234" t="s">
        <v>51</v>
      </c>
      <c r="D57" s="234" t="s">
        <v>51</v>
      </c>
      <c r="E57" s="243"/>
      <c r="F57" s="221" t="s">
        <v>52</v>
      </c>
      <c r="G57" s="256">
        <f>ROUND(G49/95*5,0)</f>
        <v>1203</v>
      </c>
      <c r="H57" s="220">
        <f>G57/$G$48</f>
        <v>5.0014551199434584E-2</v>
      </c>
      <c r="I57" s="221" t="s">
        <v>152</v>
      </c>
      <c r="J57" s="244"/>
      <c r="K57" s="245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  <c r="AA57" s="245"/>
      <c r="AB57" s="245"/>
      <c r="AC57" s="245"/>
      <c r="AD57" s="245"/>
    </row>
    <row r="58" spans="1:30" ht="15.5">
      <c r="A58" s="149"/>
      <c r="B58" s="150"/>
      <c r="C58" s="150"/>
      <c r="D58" s="150"/>
      <c r="E58" s="146"/>
      <c r="F58" s="194"/>
      <c r="G58" s="263"/>
      <c r="H58" s="206"/>
      <c r="I58" s="194"/>
      <c r="J58" s="195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</row>
    <row r="59" spans="1:30" ht="15.5">
      <c r="A59" s="149"/>
      <c r="B59" s="150"/>
      <c r="C59" s="150"/>
      <c r="D59" s="150"/>
      <c r="E59" s="146"/>
      <c r="F59" s="194"/>
      <c r="G59" s="263"/>
      <c r="H59" s="206"/>
      <c r="I59" s="194"/>
      <c r="J59" s="195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  <c r="AC59" s="168"/>
      <c r="AD59" s="168"/>
    </row>
    <row r="60" spans="1:30" ht="15.5">
      <c r="A60" s="149"/>
      <c r="B60" s="150"/>
      <c r="C60" s="150"/>
      <c r="D60" s="150"/>
      <c r="E60" s="146"/>
      <c r="F60" s="194"/>
      <c r="G60" s="263"/>
      <c r="H60" s="206"/>
      <c r="I60" s="194"/>
      <c r="J60" s="195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8"/>
    </row>
    <row r="61" spans="1:30" ht="15.5">
      <c r="A61" s="207"/>
      <c r="B61" s="208" t="s">
        <v>54</v>
      </c>
      <c r="C61" s="208" t="s">
        <v>47</v>
      </c>
      <c r="D61" s="208" t="s">
        <v>47</v>
      </c>
      <c r="E61" s="209"/>
      <c r="F61" s="210" t="s">
        <v>20</v>
      </c>
      <c r="G61" s="255">
        <f>SUM(G62,G66,G70)</f>
        <v>273054</v>
      </c>
      <c r="H61" s="212">
        <f>G61/$G$8</f>
        <v>0.17446599984759523</v>
      </c>
      <c r="I61" s="210"/>
      <c r="J61" s="213"/>
      <c r="K61" s="214"/>
      <c r="L61" s="214"/>
      <c r="M61" s="214"/>
      <c r="N61" s="214"/>
      <c r="O61" s="214"/>
      <c r="P61" s="214"/>
      <c r="Q61" s="214"/>
      <c r="R61" s="214"/>
      <c r="S61" s="214"/>
      <c r="T61" s="214"/>
      <c r="U61" s="214"/>
      <c r="V61" s="214"/>
      <c r="W61" s="214"/>
      <c r="X61" s="214"/>
      <c r="Y61" s="214"/>
      <c r="Z61" s="214"/>
      <c r="AA61" s="214"/>
      <c r="AB61" s="214"/>
      <c r="AC61" s="214"/>
      <c r="AD61" s="214"/>
    </row>
    <row r="62" spans="1:30" ht="15.5">
      <c r="A62" s="149"/>
      <c r="B62" s="234"/>
      <c r="C62" s="234" t="s">
        <v>47</v>
      </c>
      <c r="D62" s="234" t="s">
        <v>46</v>
      </c>
      <c r="E62" s="243"/>
      <c r="F62" s="221" t="s">
        <v>48</v>
      </c>
      <c r="G62" s="256">
        <f>SUM(G63:G65)</f>
        <v>22700</v>
      </c>
      <c r="H62" s="220">
        <f>G62/$G$61</f>
        <v>8.3133739113874908E-2</v>
      </c>
      <c r="I62" s="221"/>
      <c r="J62" s="264"/>
      <c r="K62" s="265"/>
      <c r="L62" s="265"/>
      <c r="M62" s="265"/>
      <c r="N62" s="265"/>
      <c r="O62" s="265"/>
      <c r="P62" s="265"/>
      <c r="Q62" s="265"/>
      <c r="R62" s="265"/>
      <c r="S62" s="265"/>
      <c r="T62" s="265"/>
      <c r="U62" s="265"/>
      <c r="V62" s="265"/>
      <c r="W62" s="265"/>
      <c r="X62" s="265"/>
      <c r="Y62" s="265"/>
      <c r="Z62" s="265"/>
      <c r="AA62" s="265"/>
      <c r="AB62" s="265"/>
      <c r="AC62" s="265"/>
      <c r="AD62" s="265"/>
    </row>
    <row r="63" spans="1:30" ht="15.5">
      <c r="A63" s="149"/>
      <c r="B63" s="150"/>
      <c r="C63" s="150"/>
      <c r="D63" s="150"/>
      <c r="E63" s="170" t="s">
        <v>126</v>
      </c>
      <c r="F63" s="269" t="s">
        <v>127</v>
      </c>
      <c r="G63" s="263">
        <v>19200</v>
      </c>
      <c r="H63" s="206">
        <f t="shared" ref="H63:H65" si="4">G63/$G$62</f>
        <v>0.8458149779735683</v>
      </c>
      <c r="I63" s="148" t="s">
        <v>182</v>
      </c>
      <c r="J63" s="195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  <c r="AA63" s="168"/>
      <c r="AB63" s="168"/>
      <c r="AC63" s="168"/>
      <c r="AD63" s="168"/>
    </row>
    <row r="64" spans="1:30" ht="15.5">
      <c r="A64" s="149"/>
      <c r="B64" s="150"/>
      <c r="C64" s="150"/>
      <c r="D64" s="150"/>
      <c r="E64" s="146" t="s">
        <v>130</v>
      </c>
      <c r="F64" s="224" t="s">
        <v>131</v>
      </c>
      <c r="G64" s="263">
        <v>3000</v>
      </c>
      <c r="H64" s="206">
        <f t="shared" si="4"/>
        <v>0.13215859030837004</v>
      </c>
      <c r="I64" s="227" t="s">
        <v>157</v>
      </c>
      <c r="J64" s="195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8"/>
      <c r="AB64" s="168"/>
      <c r="AC64" s="168"/>
      <c r="AD64" s="168"/>
    </row>
    <row r="65" spans="1:30" ht="15.5">
      <c r="A65" s="149"/>
      <c r="B65" s="150"/>
      <c r="C65" s="150"/>
      <c r="D65" s="150"/>
      <c r="E65" s="146" t="s">
        <v>138</v>
      </c>
      <c r="F65" s="194" t="s">
        <v>139</v>
      </c>
      <c r="G65" s="263">
        <v>500</v>
      </c>
      <c r="H65" s="206">
        <f t="shared" si="4"/>
        <v>2.2026431718061675E-2</v>
      </c>
      <c r="I65" s="168" t="s">
        <v>140</v>
      </c>
      <c r="J65" s="270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271"/>
      <c r="W65" s="271"/>
      <c r="X65" s="271"/>
      <c r="Y65" s="271"/>
      <c r="Z65" s="271"/>
      <c r="AA65" s="271"/>
      <c r="AB65" s="271"/>
      <c r="AC65" s="271"/>
      <c r="AD65" s="271"/>
    </row>
    <row r="66" spans="1:30" ht="15.5">
      <c r="A66" s="149"/>
      <c r="B66" s="234"/>
      <c r="C66" s="234" t="s">
        <v>47</v>
      </c>
      <c r="D66" s="234" t="s">
        <v>49</v>
      </c>
      <c r="E66" s="243"/>
      <c r="F66" s="221" t="s">
        <v>55</v>
      </c>
      <c r="G66" s="256">
        <f>SUM(G67:G68)</f>
        <v>236701</v>
      </c>
      <c r="H66" s="220">
        <f>G66/$G$61</f>
        <v>0.86686516220234822</v>
      </c>
      <c r="I66" s="221"/>
      <c r="J66" s="264"/>
      <c r="K66" s="265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  <c r="AA66" s="265"/>
      <c r="AB66" s="265"/>
      <c r="AC66" s="265"/>
      <c r="AD66" s="265"/>
    </row>
    <row r="67" spans="1:30" ht="15.5">
      <c r="A67" s="272"/>
      <c r="B67" s="273"/>
      <c r="C67" s="273"/>
      <c r="D67" s="273"/>
      <c r="E67" s="240" t="s">
        <v>183</v>
      </c>
      <c r="F67" s="274" t="s">
        <v>184</v>
      </c>
      <c r="G67" s="275">
        <v>213000</v>
      </c>
      <c r="H67" s="276">
        <f t="shared" ref="H67:H68" si="5">G67/$G$66</f>
        <v>0.89986945555785569</v>
      </c>
      <c r="I67" s="194" t="s">
        <v>185</v>
      </c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  <c r="AA67" s="277"/>
      <c r="AB67" s="277"/>
      <c r="AC67" s="277"/>
      <c r="AD67" s="277"/>
    </row>
    <row r="68" spans="1:30" ht="15.5">
      <c r="A68" s="149"/>
      <c r="B68" s="150"/>
      <c r="C68" s="150"/>
      <c r="D68" s="150"/>
      <c r="E68" s="146" t="s">
        <v>186</v>
      </c>
      <c r="F68" s="224" t="s">
        <v>187</v>
      </c>
      <c r="G68" s="263">
        <v>23701</v>
      </c>
      <c r="H68" s="206">
        <f t="shared" si="5"/>
        <v>0.10013054444214431</v>
      </c>
      <c r="I68" s="227" t="s">
        <v>188</v>
      </c>
      <c r="J68" s="195"/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67"/>
      <c r="AA68" s="167"/>
      <c r="AB68" s="167"/>
      <c r="AC68" s="167"/>
      <c r="AD68" s="167"/>
    </row>
    <row r="69" spans="1:30" ht="15.5">
      <c r="A69" s="149"/>
      <c r="B69" s="150"/>
      <c r="C69" s="150"/>
      <c r="D69" s="150"/>
      <c r="E69" s="146"/>
      <c r="F69" s="224"/>
      <c r="G69" s="263"/>
      <c r="H69" s="206"/>
      <c r="I69" s="227"/>
      <c r="J69" s="195"/>
      <c r="K69" s="278"/>
      <c r="L69" s="278"/>
      <c r="M69" s="278"/>
      <c r="N69" s="278"/>
      <c r="O69" s="278"/>
      <c r="P69" s="278"/>
      <c r="Q69" s="278"/>
      <c r="R69" s="278"/>
      <c r="S69" s="278"/>
      <c r="T69" s="278"/>
      <c r="U69" s="278"/>
      <c r="V69" s="278"/>
      <c r="W69" s="278"/>
      <c r="X69" s="278"/>
      <c r="Y69" s="278"/>
      <c r="Z69" s="278"/>
      <c r="AA69" s="278"/>
      <c r="AB69" s="278"/>
      <c r="AC69" s="278"/>
      <c r="AD69" s="278"/>
    </row>
    <row r="70" spans="1:30" ht="15.5">
      <c r="A70" s="149"/>
      <c r="B70" s="234"/>
      <c r="C70" s="234" t="s">
        <v>51</v>
      </c>
      <c r="D70" s="234" t="s">
        <v>51</v>
      </c>
      <c r="E70" s="243"/>
      <c r="F70" s="221" t="s">
        <v>52</v>
      </c>
      <c r="G70" s="256">
        <f>ROUND((G62+G66)/95*5,0)</f>
        <v>13653</v>
      </c>
      <c r="H70" s="220">
        <f>G70/$G$61</f>
        <v>5.0001098683776835E-2</v>
      </c>
      <c r="I70" s="221" t="s">
        <v>152</v>
      </c>
      <c r="J70" s="195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  <c r="AA70" s="168"/>
      <c r="AB70" s="168"/>
      <c r="AC70" s="168"/>
      <c r="AD70" s="168"/>
    </row>
    <row r="71" spans="1:30" ht="15.5">
      <c r="A71" s="149"/>
      <c r="B71" s="150"/>
      <c r="C71" s="150"/>
      <c r="D71" s="150"/>
      <c r="E71" s="146"/>
      <c r="F71" s="224"/>
      <c r="G71" s="263"/>
      <c r="H71" s="206"/>
      <c r="I71" s="227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8"/>
      <c r="AB71" s="168"/>
      <c r="AC71" s="168"/>
      <c r="AD71" s="168"/>
    </row>
    <row r="72" spans="1:30" ht="15.5">
      <c r="A72" s="149"/>
      <c r="B72" s="150"/>
      <c r="C72" s="150"/>
      <c r="D72" s="150"/>
      <c r="E72" s="146"/>
      <c r="F72" s="224"/>
      <c r="G72" s="263"/>
      <c r="H72" s="206"/>
      <c r="I72" s="227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  <c r="AA72" s="168"/>
      <c r="AB72" s="168"/>
      <c r="AC72" s="168"/>
      <c r="AD72" s="168"/>
    </row>
    <row r="73" spans="1:30" ht="15.5">
      <c r="A73" s="149"/>
      <c r="B73" s="150"/>
      <c r="C73" s="150"/>
      <c r="D73" s="150"/>
      <c r="E73" s="146"/>
      <c r="F73" s="224"/>
      <c r="G73" s="263"/>
      <c r="H73" s="206"/>
      <c r="I73" s="227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168"/>
    </row>
    <row r="74" spans="1:30" ht="15.5">
      <c r="A74" s="207"/>
      <c r="B74" s="208" t="s">
        <v>56</v>
      </c>
      <c r="C74" s="208" t="s">
        <v>47</v>
      </c>
      <c r="D74" s="208" t="s">
        <v>47</v>
      </c>
      <c r="E74" s="209"/>
      <c r="F74" s="210" t="s">
        <v>21</v>
      </c>
      <c r="G74" s="279">
        <f>G75+G78+G112+G130+G143+G167</f>
        <v>160316</v>
      </c>
      <c r="H74" s="280">
        <f>G74/$G$8</f>
        <v>0.10243281999738907</v>
      </c>
      <c r="I74" s="210"/>
      <c r="J74" s="214"/>
      <c r="K74" s="214"/>
      <c r="L74" s="214"/>
      <c r="M74" s="214"/>
      <c r="N74" s="214"/>
      <c r="O74" s="214"/>
      <c r="P74" s="214"/>
      <c r="Q74" s="214"/>
      <c r="R74" s="214"/>
      <c r="S74" s="214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</row>
    <row r="75" spans="1:30" ht="15.5">
      <c r="A75" s="149"/>
      <c r="B75" s="234"/>
      <c r="C75" s="234" t="s">
        <v>47</v>
      </c>
      <c r="D75" s="234" t="s">
        <v>46</v>
      </c>
      <c r="E75" s="243"/>
      <c r="F75" s="221" t="s">
        <v>48</v>
      </c>
      <c r="G75" s="281">
        <f>G76</f>
        <v>3000</v>
      </c>
      <c r="H75" s="220">
        <f>G75/$G$74</f>
        <v>1.8713041742558448E-2</v>
      </c>
      <c r="I75" s="221"/>
      <c r="J75" s="245"/>
      <c r="K75" s="245"/>
      <c r="L75" s="245"/>
      <c r="M75" s="245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  <c r="AA75" s="245"/>
      <c r="AB75" s="245"/>
      <c r="AC75" s="245"/>
      <c r="AD75" s="245"/>
    </row>
    <row r="76" spans="1:30" ht="15.5">
      <c r="A76" s="233"/>
      <c r="B76" s="121"/>
      <c r="C76" s="150"/>
      <c r="D76" s="150"/>
      <c r="E76" s="146" t="s">
        <v>130</v>
      </c>
      <c r="F76" s="224" t="s">
        <v>131</v>
      </c>
      <c r="G76" s="263">
        <v>3000</v>
      </c>
      <c r="H76" s="206">
        <f>G76/$G$75</f>
        <v>1</v>
      </c>
      <c r="I76" s="227" t="s">
        <v>189</v>
      </c>
      <c r="J76" s="195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  <c r="AA76" s="169"/>
      <c r="AB76" s="169"/>
      <c r="AC76" s="169"/>
      <c r="AD76" s="169"/>
    </row>
    <row r="77" spans="1:30" ht="15.5">
      <c r="A77" s="149"/>
      <c r="B77" s="150"/>
      <c r="C77" s="150"/>
      <c r="D77" s="150"/>
      <c r="E77" s="146"/>
      <c r="F77" s="224"/>
      <c r="G77" s="263"/>
      <c r="H77" s="206"/>
      <c r="I77" s="227"/>
      <c r="J77" s="195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  <c r="AA77" s="168"/>
      <c r="AB77" s="168"/>
      <c r="AC77" s="168"/>
      <c r="AD77" s="168"/>
    </row>
    <row r="78" spans="1:30" ht="15.5">
      <c r="A78" s="149"/>
      <c r="B78" s="234"/>
      <c r="C78" s="234" t="s">
        <v>46</v>
      </c>
      <c r="D78" s="234" t="s">
        <v>47</v>
      </c>
      <c r="E78" s="243"/>
      <c r="F78" s="221" t="s">
        <v>57</v>
      </c>
      <c r="G78" s="256">
        <f>G79+G81+G85+G89+G100+G104</f>
        <v>52220</v>
      </c>
      <c r="H78" s="220">
        <f>G78/$G$74</f>
        <v>0.32573167993213403</v>
      </c>
      <c r="I78" s="221"/>
      <c r="J78" s="245"/>
      <c r="K78" s="245"/>
      <c r="L78" s="245"/>
      <c r="M78" s="245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  <c r="AA78" s="245"/>
      <c r="AB78" s="245"/>
      <c r="AC78" s="245"/>
      <c r="AD78" s="245"/>
    </row>
    <row r="79" spans="1:30" ht="15.5">
      <c r="A79" s="283"/>
      <c r="B79" s="284"/>
      <c r="C79" s="284"/>
      <c r="D79" s="284" t="s">
        <v>46</v>
      </c>
      <c r="E79" s="143"/>
      <c r="F79" s="285" t="s">
        <v>48</v>
      </c>
      <c r="G79" s="286">
        <f>SUM(G80)</f>
        <v>3000</v>
      </c>
      <c r="H79" s="287">
        <f>G79/$G$78</f>
        <v>5.7449253159708925E-2</v>
      </c>
      <c r="I79" s="288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  <c r="AA79" s="174"/>
      <c r="AB79" s="174"/>
      <c r="AC79" s="174"/>
      <c r="AD79" s="174"/>
    </row>
    <row r="80" spans="1:30" ht="15.5">
      <c r="A80" s="149"/>
      <c r="B80" s="150"/>
      <c r="C80" s="150"/>
      <c r="D80" s="150"/>
      <c r="E80" s="146" t="s">
        <v>130</v>
      </c>
      <c r="F80" s="194" t="s">
        <v>131</v>
      </c>
      <c r="G80" s="266">
        <v>3000</v>
      </c>
      <c r="H80" s="267">
        <f>G80/$G$79</f>
        <v>1</v>
      </c>
      <c r="I80" s="289" t="s">
        <v>157</v>
      </c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8"/>
      <c r="AB80" s="168"/>
      <c r="AC80" s="168"/>
      <c r="AD80" s="168"/>
    </row>
    <row r="81" spans="1:30" ht="15.5">
      <c r="A81" s="149"/>
      <c r="B81" s="284"/>
      <c r="C81" s="284"/>
      <c r="D81" s="284" t="s">
        <v>49</v>
      </c>
      <c r="E81" s="143"/>
      <c r="F81" s="290" t="s">
        <v>58</v>
      </c>
      <c r="G81" s="291">
        <f>SUM(G82:G84)</f>
        <v>5820</v>
      </c>
      <c r="H81" s="292">
        <f>G81/$G$78</f>
        <v>0.11145155112983532</v>
      </c>
      <c r="I81" s="293"/>
      <c r="J81" s="294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  <c r="AA81" s="174"/>
      <c r="AB81" s="174"/>
      <c r="AC81" s="174"/>
      <c r="AD81" s="174"/>
    </row>
    <row r="82" spans="1:30" ht="15.5">
      <c r="A82" s="180"/>
      <c r="B82" s="180"/>
      <c r="C82" s="150"/>
      <c r="D82" s="150"/>
      <c r="E82" s="146" t="s">
        <v>126</v>
      </c>
      <c r="F82" s="224" t="s">
        <v>127</v>
      </c>
      <c r="G82" s="263">
        <v>1600</v>
      </c>
      <c r="H82" s="206">
        <f t="shared" ref="H82:H84" si="6">G82/$G$81</f>
        <v>0.27491408934707906</v>
      </c>
      <c r="I82" s="227" t="s">
        <v>190</v>
      </c>
      <c r="J82" s="195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  <c r="AA82" s="168"/>
      <c r="AB82" s="168"/>
      <c r="AC82" s="168"/>
      <c r="AD82" s="166"/>
    </row>
    <row r="83" spans="1:30" ht="15.5">
      <c r="A83" s="180"/>
      <c r="B83" s="180"/>
      <c r="C83" s="150"/>
      <c r="D83" s="150"/>
      <c r="E83" s="146" t="s">
        <v>191</v>
      </c>
      <c r="F83" s="224" t="s">
        <v>192</v>
      </c>
      <c r="G83" s="263">
        <v>200</v>
      </c>
      <c r="H83" s="206">
        <f t="shared" si="6"/>
        <v>3.4364261168384883E-2</v>
      </c>
      <c r="I83" s="227" t="s">
        <v>193</v>
      </c>
      <c r="J83" s="195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  <c r="AA83" s="168"/>
      <c r="AB83" s="168"/>
      <c r="AC83" s="168"/>
      <c r="AD83" s="166"/>
    </row>
    <row r="84" spans="1:30" ht="31">
      <c r="A84" s="180"/>
      <c r="B84" s="180"/>
      <c r="C84" s="150"/>
      <c r="D84" s="150"/>
      <c r="E84" s="170" t="s">
        <v>158</v>
      </c>
      <c r="F84" s="269" t="s">
        <v>159</v>
      </c>
      <c r="G84" s="481">
        <v>4020</v>
      </c>
      <c r="H84" s="507">
        <f t="shared" si="6"/>
        <v>0.69072164948453607</v>
      </c>
      <c r="I84" s="227" t="s">
        <v>194</v>
      </c>
      <c r="J84" s="195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  <c r="AA84" s="168"/>
      <c r="AB84" s="168"/>
      <c r="AC84" s="168"/>
      <c r="AD84" s="166"/>
    </row>
    <row r="85" spans="1:30" ht="15.5">
      <c r="A85" s="149"/>
      <c r="B85" s="284"/>
      <c r="C85" s="284"/>
      <c r="D85" s="284" t="s">
        <v>53</v>
      </c>
      <c r="E85" s="143"/>
      <c r="F85" s="290" t="s">
        <v>59</v>
      </c>
      <c r="G85" s="286">
        <f>SUM(G86:G88)</f>
        <v>6700</v>
      </c>
      <c r="H85" s="292">
        <f>G85/$G$78</f>
        <v>0.12830333205668326</v>
      </c>
      <c r="I85" s="295"/>
      <c r="J85" s="294"/>
      <c r="K85" s="174"/>
      <c r="L85" s="174"/>
      <c r="M85" s="174"/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174"/>
      <c r="Z85" s="174"/>
      <c r="AA85" s="174"/>
      <c r="AB85" s="174"/>
      <c r="AC85" s="174"/>
      <c r="AD85" s="174"/>
    </row>
    <row r="86" spans="1:30" ht="15.5">
      <c r="A86" s="149"/>
      <c r="B86" s="150"/>
      <c r="C86" s="150"/>
      <c r="D86" s="150"/>
      <c r="E86" s="146" t="s">
        <v>126</v>
      </c>
      <c r="F86" s="224" t="s">
        <v>127</v>
      </c>
      <c r="G86" s="263">
        <v>1200</v>
      </c>
      <c r="H86" s="206">
        <f t="shared" ref="H86:H87" si="7">G86/$G$85</f>
        <v>0.17910447761194029</v>
      </c>
      <c r="I86" s="227" t="s">
        <v>195</v>
      </c>
      <c r="J86" s="195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  <c r="AC86" s="168"/>
      <c r="AD86" s="168"/>
    </row>
    <row r="87" spans="1:30" ht="15.5">
      <c r="A87" s="233"/>
      <c r="B87" s="121"/>
      <c r="C87" s="150"/>
      <c r="D87" s="150"/>
      <c r="E87" s="146" t="s">
        <v>191</v>
      </c>
      <c r="F87" s="224" t="s">
        <v>192</v>
      </c>
      <c r="G87" s="263">
        <v>5500</v>
      </c>
      <c r="H87" s="206">
        <f t="shared" si="7"/>
        <v>0.82089552238805974</v>
      </c>
      <c r="I87" s="227" t="s">
        <v>196</v>
      </c>
      <c r="J87" s="195"/>
      <c r="K87" s="169"/>
      <c r="L87" s="169"/>
      <c r="M87" s="169"/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  <c r="AA87" s="169"/>
      <c r="AB87" s="169"/>
      <c r="AC87" s="169"/>
      <c r="AD87" s="169"/>
    </row>
    <row r="88" spans="1:30" ht="15.5">
      <c r="A88" s="149"/>
      <c r="B88" s="150"/>
      <c r="C88" s="150"/>
      <c r="D88" s="150"/>
      <c r="E88" s="146"/>
      <c r="F88" s="224"/>
      <c r="G88" s="263"/>
      <c r="H88" s="206"/>
      <c r="I88" s="227" t="s">
        <v>197</v>
      </c>
      <c r="J88" s="195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  <c r="AA88" s="168"/>
      <c r="AB88" s="168"/>
      <c r="AC88" s="168"/>
      <c r="AD88" s="168"/>
    </row>
    <row r="89" spans="1:30" ht="15.5">
      <c r="A89" s="149"/>
      <c r="B89" s="284"/>
      <c r="C89" s="284"/>
      <c r="D89" s="284" t="s">
        <v>54</v>
      </c>
      <c r="E89" s="143"/>
      <c r="F89" s="290" t="s">
        <v>60</v>
      </c>
      <c r="G89" s="286">
        <f>SUM(G90:G97)</f>
        <v>16800</v>
      </c>
      <c r="H89" s="292">
        <f>G89/$G$78</f>
        <v>0.32171581769436997</v>
      </c>
      <c r="I89" s="295"/>
      <c r="J89" s="294"/>
      <c r="K89" s="174"/>
      <c r="L89" s="174"/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Z89" s="174"/>
      <c r="AA89" s="174"/>
      <c r="AB89" s="174"/>
      <c r="AC89" s="174"/>
      <c r="AD89" s="174"/>
    </row>
    <row r="90" spans="1:30" ht="15.5">
      <c r="A90" s="180"/>
      <c r="B90" s="180"/>
      <c r="C90" s="150"/>
      <c r="D90" s="150"/>
      <c r="E90" s="146" t="s">
        <v>126</v>
      </c>
      <c r="F90" s="224" t="s">
        <v>127</v>
      </c>
      <c r="G90" s="263">
        <v>1400</v>
      </c>
      <c r="H90" s="206">
        <f>G90/$G$89</f>
        <v>8.3333333333333329E-2</v>
      </c>
      <c r="I90" s="227" t="s">
        <v>198</v>
      </c>
      <c r="J90" s="195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  <c r="AA90" s="168"/>
      <c r="AB90" s="168"/>
      <c r="AC90" s="168"/>
      <c r="AD90" s="166"/>
    </row>
    <row r="91" spans="1:30" ht="15.5">
      <c r="A91" s="180"/>
      <c r="B91" s="180"/>
      <c r="C91" s="150"/>
      <c r="D91" s="150"/>
      <c r="E91" s="146"/>
      <c r="F91" s="224"/>
      <c r="G91" s="263"/>
      <c r="H91" s="206"/>
      <c r="I91" s="227" t="s">
        <v>199</v>
      </c>
      <c r="J91" s="195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  <c r="AC91" s="168"/>
      <c r="AD91" s="166"/>
    </row>
    <row r="92" spans="1:30" ht="15.5">
      <c r="A92" s="180"/>
      <c r="B92" s="180"/>
      <c r="C92" s="150"/>
      <c r="D92" s="150"/>
      <c r="E92" s="146" t="s">
        <v>191</v>
      </c>
      <c r="F92" s="224" t="s">
        <v>192</v>
      </c>
      <c r="G92" s="263">
        <v>8900</v>
      </c>
      <c r="H92" s="206">
        <f>G92/$G$89</f>
        <v>0.52976190476190477</v>
      </c>
      <c r="I92" s="227" t="s">
        <v>200</v>
      </c>
      <c r="J92" s="195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  <c r="AC92" s="168"/>
      <c r="AD92" s="166"/>
    </row>
    <row r="93" spans="1:30" ht="15.5">
      <c r="A93" s="180"/>
      <c r="B93" s="180"/>
      <c r="C93" s="150"/>
      <c r="D93" s="150"/>
      <c r="E93" s="146"/>
      <c r="F93" s="224"/>
      <c r="G93" s="263"/>
      <c r="H93" s="206"/>
      <c r="I93" s="227" t="s">
        <v>201</v>
      </c>
      <c r="J93" s="195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6"/>
    </row>
    <row r="94" spans="1:30" ht="15.5">
      <c r="A94" s="180"/>
      <c r="B94" s="180"/>
      <c r="C94" s="150"/>
      <c r="D94" s="150"/>
      <c r="E94" s="146"/>
      <c r="F94" s="224"/>
      <c r="G94" s="263"/>
      <c r="H94" s="206"/>
      <c r="I94" s="227" t="s">
        <v>202</v>
      </c>
      <c r="J94" s="195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  <c r="AB94" s="168"/>
      <c r="AC94" s="168"/>
      <c r="AD94" s="166"/>
    </row>
    <row r="95" spans="1:30" ht="15.5">
      <c r="A95" s="180"/>
      <c r="B95" s="180"/>
      <c r="C95" s="150"/>
      <c r="D95" s="150"/>
      <c r="E95" s="146"/>
      <c r="F95" s="224"/>
      <c r="G95" s="263"/>
      <c r="H95" s="206"/>
      <c r="I95" s="227" t="s">
        <v>203</v>
      </c>
      <c r="J95" s="195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  <c r="AC95" s="168"/>
      <c r="AD95" s="166"/>
    </row>
    <row r="96" spans="1:30" ht="15.5">
      <c r="A96" s="180"/>
      <c r="B96" s="180"/>
      <c r="C96" s="150"/>
      <c r="D96" s="150"/>
      <c r="E96" s="146" t="s">
        <v>204</v>
      </c>
      <c r="F96" s="224" t="s">
        <v>205</v>
      </c>
      <c r="G96" s="263">
        <v>4000</v>
      </c>
      <c r="H96" s="206">
        <f t="shared" ref="H96:H97" si="8">G96/$G$89</f>
        <v>0.23809523809523808</v>
      </c>
      <c r="I96" s="227" t="s">
        <v>206</v>
      </c>
      <c r="J96" s="195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6"/>
    </row>
    <row r="97" spans="1:30" ht="15.5">
      <c r="A97" s="180"/>
      <c r="B97" s="180"/>
      <c r="C97" s="150"/>
      <c r="D97" s="150"/>
      <c r="E97" s="146" t="s">
        <v>133</v>
      </c>
      <c r="F97" s="224" t="s">
        <v>134</v>
      </c>
      <c r="G97" s="263">
        <v>2500</v>
      </c>
      <c r="H97" s="206">
        <f t="shared" si="8"/>
        <v>0.14880952380952381</v>
      </c>
      <c r="I97" s="227" t="s">
        <v>207</v>
      </c>
      <c r="J97" s="195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8"/>
      <c r="AB97" s="168"/>
      <c r="AC97" s="168"/>
      <c r="AD97" s="166"/>
    </row>
    <row r="98" spans="1:30" ht="15.5">
      <c r="A98" s="180"/>
      <c r="B98" s="180"/>
      <c r="C98" s="150"/>
      <c r="D98" s="150"/>
      <c r="E98" s="146"/>
      <c r="F98" s="224"/>
      <c r="G98" s="263"/>
      <c r="H98" s="206"/>
      <c r="I98" s="227" t="s">
        <v>208</v>
      </c>
      <c r="J98" s="195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  <c r="AA98" s="168"/>
      <c r="AB98" s="168"/>
      <c r="AC98" s="168"/>
      <c r="AD98" s="166"/>
    </row>
    <row r="99" spans="1:30" ht="15.5">
      <c r="A99" s="180"/>
      <c r="B99" s="180"/>
      <c r="C99" s="150"/>
      <c r="D99" s="150"/>
      <c r="E99" s="146"/>
      <c r="F99" s="224"/>
      <c r="G99" s="263"/>
      <c r="H99" s="206"/>
      <c r="I99" s="227" t="s">
        <v>209</v>
      </c>
      <c r="J99" s="195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  <c r="AC99" s="168"/>
      <c r="AD99" s="166"/>
    </row>
    <row r="100" spans="1:30" ht="15.5">
      <c r="A100" s="149"/>
      <c r="B100" s="284"/>
      <c r="C100" s="284"/>
      <c r="D100" s="284" t="s">
        <v>56</v>
      </c>
      <c r="E100" s="143"/>
      <c r="F100" s="290" t="s">
        <v>61</v>
      </c>
      <c r="G100" s="286">
        <f>SUM(G101:G102)</f>
        <v>10000</v>
      </c>
      <c r="H100" s="292">
        <f>G100/$G$78</f>
        <v>0.19149751053236308</v>
      </c>
      <c r="I100" s="295"/>
      <c r="J100" s="294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  <c r="AA100" s="174"/>
      <c r="AB100" s="174"/>
      <c r="AC100" s="174"/>
      <c r="AD100" s="174"/>
    </row>
    <row r="101" spans="1:30" ht="15.5">
      <c r="A101" s="233"/>
      <c r="B101" s="121"/>
      <c r="C101" s="150"/>
      <c r="D101" s="150"/>
      <c r="E101" s="146" t="s">
        <v>126</v>
      </c>
      <c r="F101" s="224" t="s">
        <v>127</v>
      </c>
      <c r="G101" s="263">
        <v>1000</v>
      </c>
      <c r="H101" s="206">
        <f>G101/G100</f>
        <v>0.1</v>
      </c>
      <c r="I101" s="227" t="s">
        <v>210</v>
      </c>
      <c r="J101" s="195"/>
      <c r="K101" s="169"/>
      <c r="L101" s="169"/>
      <c r="M101" s="169"/>
      <c r="N101" s="169"/>
      <c r="O101" s="169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  <c r="Z101" s="169"/>
      <c r="AA101" s="169"/>
      <c r="AB101" s="169"/>
      <c r="AC101" s="169"/>
      <c r="AD101" s="169"/>
    </row>
    <row r="102" spans="1:30" ht="15.5">
      <c r="A102" s="233"/>
      <c r="B102" s="121"/>
      <c r="C102" s="150"/>
      <c r="D102" s="150"/>
      <c r="E102" s="146" t="s">
        <v>191</v>
      </c>
      <c r="F102" s="224" t="s">
        <v>192</v>
      </c>
      <c r="G102" s="263">
        <v>9000</v>
      </c>
      <c r="H102" s="206">
        <f>G102/G100</f>
        <v>0.9</v>
      </c>
      <c r="I102" s="227" t="s">
        <v>211</v>
      </c>
      <c r="J102" s="195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  <c r="AA102" s="169"/>
      <c r="AB102" s="169"/>
      <c r="AC102" s="169"/>
      <c r="AD102" s="169"/>
    </row>
    <row r="103" spans="1:30" ht="15.5">
      <c r="A103" s="233"/>
      <c r="B103" s="121"/>
      <c r="C103" s="150"/>
      <c r="D103" s="150"/>
      <c r="E103" s="146"/>
      <c r="F103" s="224"/>
      <c r="G103" s="263"/>
      <c r="H103" s="206"/>
      <c r="I103" s="227" t="s">
        <v>212</v>
      </c>
      <c r="J103" s="195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  <c r="AA103" s="169"/>
      <c r="AB103" s="169"/>
      <c r="AC103" s="169"/>
      <c r="AD103" s="169"/>
    </row>
    <row r="104" spans="1:30" ht="15.5">
      <c r="A104" s="149"/>
      <c r="B104" s="284"/>
      <c r="C104" s="284"/>
      <c r="D104" s="284" t="s">
        <v>62</v>
      </c>
      <c r="E104" s="143"/>
      <c r="F104" s="290" t="s">
        <v>63</v>
      </c>
      <c r="G104" s="286">
        <f>SUM(G105:G111)</f>
        <v>9900</v>
      </c>
      <c r="H104" s="292">
        <f>G104/$G$78</f>
        <v>0.18958253542703946</v>
      </c>
      <c r="I104" s="295"/>
      <c r="J104" s="29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  <c r="AA104" s="174"/>
      <c r="AB104" s="174"/>
      <c r="AC104" s="174"/>
      <c r="AD104" s="174"/>
    </row>
    <row r="105" spans="1:30" ht="15.5">
      <c r="A105" s="180"/>
      <c r="B105" s="180"/>
      <c r="C105" s="150"/>
      <c r="D105" s="150"/>
      <c r="E105" s="146" t="s">
        <v>126</v>
      </c>
      <c r="F105" s="224" t="s">
        <v>127</v>
      </c>
      <c r="G105" s="263">
        <v>1400</v>
      </c>
      <c r="H105" s="206">
        <f>G105/$G$104</f>
        <v>0.14141414141414141</v>
      </c>
      <c r="I105" s="227" t="s">
        <v>213</v>
      </c>
      <c r="J105" s="195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  <c r="AB105" s="168"/>
      <c r="AC105" s="168"/>
      <c r="AD105" s="166"/>
    </row>
    <row r="106" spans="1:30" ht="15.5">
      <c r="A106" s="180"/>
      <c r="B106" s="180"/>
      <c r="C106" s="150"/>
      <c r="D106" s="150"/>
      <c r="E106" s="146"/>
      <c r="F106" s="224"/>
      <c r="G106" s="263"/>
      <c r="H106" s="206"/>
      <c r="I106" s="227" t="s">
        <v>214</v>
      </c>
      <c r="J106" s="195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8"/>
      <c r="AB106" s="168"/>
      <c r="AC106" s="168"/>
      <c r="AD106" s="166"/>
    </row>
    <row r="107" spans="1:30" ht="15.5">
      <c r="A107" s="180"/>
      <c r="B107" s="180"/>
      <c r="C107" s="150"/>
      <c r="D107" s="150"/>
      <c r="E107" s="146" t="s">
        <v>191</v>
      </c>
      <c r="F107" s="224" t="s">
        <v>192</v>
      </c>
      <c r="G107" s="263">
        <v>2200</v>
      </c>
      <c r="H107" s="206">
        <f>G107/$G$104</f>
        <v>0.22222222222222221</v>
      </c>
      <c r="I107" s="227" t="s">
        <v>215</v>
      </c>
      <c r="J107" s="195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  <c r="AB107" s="168"/>
      <c r="AC107" s="168"/>
      <c r="AD107" s="166"/>
    </row>
    <row r="108" spans="1:30" ht="15.5">
      <c r="A108" s="180"/>
      <c r="B108" s="180"/>
      <c r="C108" s="150"/>
      <c r="D108" s="150"/>
      <c r="E108" s="146"/>
      <c r="F108" s="224"/>
      <c r="G108" s="263"/>
      <c r="H108" s="206"/>
      <c r="I108" s="227" t="s">
        <v>216</v>
      </c>
      <c r="J108" s="195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  <c r="AA108" s="168"/>
      <c r="AB108" s="168"/>
      <c r="AC108" s="168"/>
      <c r="AD108" s="166"/>
    </row>
    <row r="109" spans="1:30" ht="15.5">
      <c r="A109" s="180"/>
      <c r="B109" s="180"/>
      <c r="C109" s="150"/>
      <c r="D109" s="150"/>
      <c r="E109" s="146" t="s">
        <v>204</v>
      </c>
      <c r="F109" s="224" t="s">
        <v>205</v>
      </c>
      <c r="G109" s="263">
        <v>2000</v>
      </c>
      <c r="H109" s="206">
        <f t="shared" ref="H109:H111" si="9">G109/$G$104</f>
        <v>0.20202020202020202</v>
      </c>
      <c r="I109" s="227" t="s">
        <v>217</v>
      </c>
      <c r="J109" s="195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  <c r="AC109" s="168"/>
      <c r="AD109" s="166"/>
    </row>
    <row r="110" spans="1:30" ht="15.5">
      <c r="A110" s="180"/>
      <c r="B110" s="180"/>
      <c r="C110" s="150"/>
      <c r="D110" s="150"/>
      <c r="E110" s="146" t="s">
        <v>218</v>
      </c>
      <c r="F110" s="224" t="s">
        <v>219</v>
      </c>
      <c r="G110" s="263">
        <v>3600</v>
      </c>
      <c r="H110" s="206">
        <f t="shared" si="9"/>
        <v>0.36363636363636365</v>
      </c>
      <c r="I110" s="227" t="s">
        <v>220</v>
      </c>
      <c r="J110" s="195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  <c r="AA110" s="168"/>
      <c r="AB110" s="168"/>
      <c r="AC110" s="168"/>
      <c r="AD110" s="166"/>
    </row>
    <row r="111" spans="1:30" ht="15.5">
      <c r="A111" s="180"/>
      <c r="B111" s="180"/>
      <c r="C111" s="150"/>
      <c r="D111" s="150"/>
      <c r="E111" s="146" t="s">
        <v>162</v>
      </c>
      <c r="F111" s="224" t="s">
        <v>163</v>
      </c>
      <c r="G111" s="263">
        <v>700</v>
      </c>
      <c r="H111" s="206">
        <f t="shared" si="9"/>
        <v>7.0707070707070704E-2</v>
      </c>
      <c r="I111" s="227" t="s">
        <v>221</v>
      </c>
      <c r="J111" s="195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  <c r="AA111" s="168"/>
      <c r="AB111" s="168"/>
      <c r="AC111" s="168"/>
      <c r="AD111" s="166"/>
    </row>
    <row r="112" spans="1:30" ht="15.5">
      <c r="A112" s="149"/>
      <c r="B112" s="234"/>
      <c r="C112" s="234" t="s">
        <v>49</v>
      </c>
      <c r="D112" s="234" t="s">
        <v>47</v>
      </c>
      <c r="E112" s="243"/>
      <c r="F112" s="221" t="s">
        <v>222</v>
      </c>
      <c r="G112" s="256">
        <f>G113+G115+G121</f>
        <v>26780</v>
      </c>
      <c r="H112" s="220">
        <f>G112/$G$74</f>
        <v>0.1670450859552384</v>
      </c>
      <c r="I112" s="221"/>
      <c r="J112" s="244"/>
      <c r="K112" s="245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  <c r="AA112" s="245"/>
      <c r="AB112" s="245"/>
      <c r="AC112" s="245"/>
      <c r="AD112" s="245"/>
    </row>
    <row r="113" spans="1:30" ht="15.5">
      <c r="A113" s="283"/>
      <c r="B113" s="284"/>
      <c r="C113" s="284"/>
      <c r="D113" s="284" t="s">
        <v>46</v>
      </c>
      <c r="E113" s="143"/>
      <c r="F113" s="285" t="s">
        <v>223</v>
      </c>
      <c r="G113" s="286">
        <f>SUM(G114)</f>
        <v>3000</v>
      </c>
      <c r="H113" s="292">
        <f>G113/$G$112</f>
        <v>0.11202389843166542</v>
      </c>
      <c r="I113" s="289"/>
      <c r="J113" s="29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  <c r="AA113" s="174"/>
      <c r="AB113" s="174"/>
      <c r="AC113" s="174"/>
      <c r="AD113" s="174"/>
    </row>
    <row r="114" spans="1:30" ht="15.5">
      <c r="A114" s="149"/>
      <c r="B114" s="150"/>
      <c r="C114" s="150"/>
      <c r="D114" s="150"/>
      <c r="E114" s="146" t="s">
        <v>130</v>
      </c>
      <c r="F114" s="168" t="s">
        <v>131</v>
      </c>
      <c r="G114" s="225">
        <v>3000</v>
      </c>
      <c r="H114" s="267">
        <f>G114/G113</f>
        <v>1</v>
      </c>
      <c r="I114" s="297" t="s">
        <v>157</v>
      </c>
      <c r="J114" s="195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8"/>
      <c r="AB114" s="168"/>
      <c r="AC114" s="168"/>
      <c r="AD114" s="168"/>
    </row>
    <row r="115" spans="1:30" ht="15.5">
      <c r="A115" s="149"/>
      <c r="B115" s="284"/>
      <c r="C115" s="284"/>
      <c r="D115" s="284" t="s">
        <v>49</v>
      </c>
      <c r="E115" s="143"/>
      <c r="F115" s="298" t="s">
        <v>65</v>
      </c>
      <c r="G115" s="291">
        <f>SUM(G116:G120)</f>
        <v>12380</v>
      </c>
      <c r="H115" s="292">
        <f>G115/$G$112</f>
        <v>0.46228528752800596</v>
      </c>
      <c r="I115" s="299"/>
      <c r="J115" s="29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  <c r="AA115" s="174"/>
      <c r="AB115" s="174"/>
      <c r="AC115" s="174"/>
      <c r="AD115" s="174"/>
    </row>
    <row r="116" spans="1:30" ht="15.5">
      <c r="A116" s="180"/>
      <c r="B116" s="180"/>
      <c r="C116" s="150"/>
      <c r="D116" s="150"/>
      <c r="E116" s="146" t="s">
        <v>126</v>
      </c>
      <c r="F116" s="224" t="s">
        <v>127</v>
      </c>
      <c r="G116" s="263">
        <v>1600</v>
      </c>
      <c r="H116" s="206">
        <f>G116/$G$115</f>
        <v>0.12924071082390953</v>
      </c>
      <c r="I116" s="227" t="s">
        <v>224</v>
      </c>
      <c r="J116" s="195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8"/>
      <c r="AB116" s="168"/>
      <c r="AC116" s="168"/>
      <c r="AD116" s="166"/>
    </row>
    <row r="117" spans="1:30" ht="15.5">
      <c r="A117" s="180"/>
      <c r="B117" s="180"/>
      <c r="C117" s="150"/>
      <c r="D117" s="150"/>
      <c r="E117" s="146"/>
      <c r="F117" s="224"/>
      <c r="G117" s="263"/>
      <c r="H117" s="206"/>
      <c r="I117" s="227" t="s">
        <v>225</v>
      </c>
      <c r="J117" s="195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8"/>
      <c r="AB117" s="168"/>
      <c r="AC117" s="168"/>
      <c r="AD117" s="166"/>
    </row>
    <row r="118" spans="1:30" ht="15.5">
      <c r="A118" s="180"/>
      <c r="B118" s="180"/>
      <c r="C118" s="150"/>
      <c r="D118" s="150"/>
      <c r="E118" s="146" t="s">
        <v>191</v>
      </c>
      <c r="F118" s="224" t="s">
        <v>192</v>
      </c>
      <c r="G118" s="263">
        <v>10780</v>
      </c>
      <c r="H118" s="206">
        <f>G118/$G$115</f>
        <v>0.87075928917609047</v>
      </c>
      <c r="I118" s="227" t="s">
        <v>226</v>
      </c>
      <c r="J118" s="195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  <c r="AB118" s="168"/>
      <c r="AC118" s="168"/>
      <c r="AD118" s="166"/>
    </row>
    <row r="119" spans="1:30" ht="15.5">
      <c r="A119" s="180"/>
      <c r="B119" s="180"/>
      <c r="C119" s="150"/>
      <c r="D119" s="150"/>
      <c r="E119" s="146"/>
      <c r="F119" s="224"/>
      <c r="G119" s="263"/>
      <c r="H119" s="206"/>
      <c r="I119" s="227" t="s">
        <v>227</v>
      </c>
      <c r="J119" s="195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  <c r="AB119" s="168"/>
      <c r="AC119" s="168"/>
      <c r="AD119" s="166"/>
    </row>
    <row r="120" spans="1:30" ht="15.5">
      <c r="A120" s="180"/>
      <c r="B120" s="180"/>
      <c r="C120" s="150"/>
      <c r="D120" s="150"/>
      <c r="E120" s="146"/>
      <c r="F120" s="224"/>
      <c r="G120" s="263"/>
      <c r="H120" s="206"/>
      <c r="I120" s="227" t="s">
        <v>228</v>
      </c>
      <c r="J120" s="195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  <c r="AB120" s="168"/>
      <c r="AC120" s="168"/>
      <c r="AD120" s="166"/>
    </row>
    <row r="121" spans="1:30" ht="15.5">
      <c r="A121" s="149"/>
      <c r="B121" s="284"/>
      <c r="C121" s="284"/>
      <c r="D121" s="284" t="s">
        <v>53</v>
      </c>
      <c r="E121" s="143"/>
      <c r="F121" s="298" t="s">
        <v>66</v>
      </c>
      <c r="G121" s="291">
        <f>SUM(G122:G129)</f>
        <v>11400</v>
      </c>
      <c r="H121" s="292">
        <f>G121/$G$112</f>
        <v>0.4256908140403286</v>
      </c>
      <c r="I121" s="299"/>
      <c r="J121" s="29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  <c r="AA121" s="174"/>
      <c r="AB121" s="174"/>
      <c r="AC121" s="174"/>
      <c r="AD121" s="174"/>
    </row>
    <row r="122" spans="1:30" ht="15.5">
      <c r="A122" s="180"/>
      <c r="B122" s="180"/>
      <c r="C122" s="150"/>
      <c r="D122" s="150"/>
      <c r="E122" s="146" t="s">
        <v>126</v>
      </c>
      <c r="F122" s="224" t="s">
        <v>127</v>
      </c>
      <c r="G122" s="263">
        <v>3200</v>
      </c>
      <c r="H122" s="206">
        <f>G122/$G$121</f>
        <v>0.2807017543859649</v>
      </c>
      <c r="I122" s="227" t="s">
        <v>229</v>
      </c>
      <c r="J122" s="195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  <c r="AB122" s="168"/>
      <c r="AC122" s="168"/>
      <c r="AD122" s="166"/>
    </row>
    <row r="123" spans="1:30" ht="15.5">
      <c r="A123" s="180"/>
      <c r="B123" s="180"/>
      <c r="C123" s="150"/>
      <c r="D123" s="150"/>
      <c r="E123" s="146"/>
      <c r="F123" s="224"/>
      <c r="G123" s="263"/>
      <c r="H123" s="206"/>
      <c r="I123" s="227" t="s">
        <v>230</v>
      </c>
      <c r="J123" s="195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  <c r="AC123" s="168"/>
      <c r="AD123" s="166"/>
    </row>
    <row r="124" spans="1:30" ht="15.5">
      <c r="A124" s="180"/>
      <c r="B124" s="180"/>
      <c r="C124" s="150"/>
      <c r="D124" s="150"/>
      <c r="E124" s="146"/>
      <c r="F124" s="224"/>
      <c r="G124" s="263"/>
      <c r="H124" s="206"/>
      <c r="I124" s="227" t="s">
        <v>231</v>
      </c>
      <c r="J124" s="195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8"/>
      <c r="AC124" s="168"/>
      <c r="AD124" s="166"/>
    </row>
    <row r="125" spans="1:30" ht="15.5">
      <c r="A125" s="180"/>
      <c r="B125" s="180"/>
      <c r="C125" s="150"/>
      <c r="D125" s="150"/>
      <c r="E125" s="146" t="s">
        <v>191</v>
      </c>
      <c r="F125" s="224" t="s">
        <v>192</v>
      </c>
      <c r="G125" s="263">
        <v>1300</v>
      </c>
      <c r="H125" s="206">
        <f>G125/$G$121</f>
        <v>0.11403508771929824</v>
      </c>
      <c r="I125" s="227" t="s">
        <v>232</v>
      </c>
      <c r="J125" s="195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  <c r="AB125" s="168"/>
      <c r="AC125" s="168"/>
      <c r="AD125" s="166"/>
    </row>
    <row r="126" spans="1:30" ht="15.5">
      <c r="A126" s="180"/>
      <c r="B126" s="180"/>
      <c r="C126" s="150"/>
      <c r="D126" s="150"/>
      <c r="E126" s="146"/>
      <c r="F126" s="224"/>
      <c r="G126" s="263"/>
      <c r="H126" s="206"/>
      <c r="I126" s="227" t="s">
        <v>233</v>
      </c>
      <c r="J126" s="195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8"/>
      <c r="AC126" s="168"/>
      <c r="AD126" s="166"/>
    </row>
    <row r="127" spans="1:30" ht="15.5">
      <c r="A127" s="180"/>
      <c r="B127" s="180"/>
      <c r="C127" s="150"/>
      <c r="D127" s="150"/>
      <c r="E127" s="146" t="s">
        <v>158</v>
      </c>
      <c r="F127" s="224" t="s">
        <v>163</v>
      </c>
      <c r="G127" s="263">
        <v>6000</v>
      </c>
      <c r="H127" s="206">
        <f t="shared" ref="H127:H129" si="10">G127/$G$121</f>
        <v>0.52631578947368418</v>
      </c>
      <c r="I127" s="227" t="s">
        <v>234</v>
      </c>
      <c r="J127" s="195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  <c r="AB127" s="168"/>
      <c r="AC127" s="168"/>
      <c r="AD127" s="166"/>
    </row>
    <row r="128" spans="1:30" ht="15.5">
      <c r="A128" s="180"/>
      <c r="B128" s="180"/>
      <c r="C128" s="150"/>
      <c r="D128" s="150"/>
      <c r="E128" s="146" t="s">
        <v>133</v>
      </c>
      <c r="F128" s="224" t="s">
        <v>134</v>
      </c>
      <c r="G128" s="263">
        <v>400</v>
      </c>
      <c r="H128" s="206">
        <f t="shared" si="10"/>
        <v>3.5087719298245612E-2</v>
      </c>
      <c r="I128" s="227" t="s">
        <v>235</v>
      </c>
      <c r="J128" s="195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  <c r="AB128" s="168"/>
      <c r="AC128" s="168"/>
      <c r="AD128" s="166"/>
    </row>
    <row r="129" spans="1:30" ht="15.5">
      <c r="A129" s="180"/>
      <c r="B129" s="180"/>
      <c r="C129" s="150"/>
      <c r="D129" s="150"/>
      <c r="E129" s="146" t="s">
        <v>138</v>
      </c>
      <c r="F129" s="224" t="s">
        <v>139</v>
      </c>
      <c r="G129" s="263">
        <v>500</v>
      </c>
      <c r="H129" s="206">
        <f t="shared" si="10"/>
        <v>4.3859649122807015E-2</v>
      </c>
      <c r="I129" s="227" t="s">
        <v>236</v>
      </c>
      <c r="J129" s="195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8"/>
      <c r="AB129" s="168"/>
      <c r="AC129" s="168"/>
      <c r="AD129" s="166"/>
    </row>
    <row r="130" spans="1:30" ht="15.5">
      <c r="A130" s="149"/>
      <c r="B130" s="234"/>
      <c r="C130" s="234" t="s">
        <v>53</v>
      </c>
      <c r="D130" s="234" t="s">
        <v>47</v>
      </c>
      <c r="E130" s="243"/>
      <c r="F130" s="221" t="s">
        <v>237</v>
      </c>
      <c r="G130" s="256">
        <f>G131+G133</f>
        <v>29900</v>
      </c>
      <c r="H130" s="220">
        <f>G130/$G$74</f>
        <v>0.18650664936749919</v>
      </c>
      <c r="I130" s="221"/>
      <c r="J130" s="244"/>
      <c r="K130" s="245"/>
      <c r="L130" s="245"/>
      <c r="M130" s="245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  <c r="AA130" s="245"/>
      <c r="AB130" s="245"/>
      <c r="AC130" s="245"/>
      <c r="AD130" s="245"/>
    </row>
    <row r="131" spans="1:30" ht="15.5">
      <c r="A131" s="300"/>
      <c r="B131" s="301"/>
      <c r="C131" s="301"/>
      <c r="D131" s="301" t="s">
        <v>46</v>
      </c>
      <c r="E131" s="302"/>
      <c r="F131" s="285" t="s">
        <v>48</v>
      </c>
      <c r="G131" s="303">
        <f>G132</f>
        <v>3000</v>
      </c>
      <c r="H131" s="287">
        <f>G131/$G$130</f>
        <v>0.10033444816053512</v>
      </c>
      <c r="I131" s="299"/>
      <c r="J131" s="29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  <c r="AA131" s="174"/>
      <c r="AB131" s="174"/>
      <c r="AC131" s="174"/>
      <c r="AD131" s="174"/>
    </row>
    <row r="132" spans="1:30" ht="15.5">
      <c r="A132" s="304"/>
      <c r="B132" s="305"/>
      <c r="C132" s="305"/>
      <c r="D132" s="304"/>
      <c r="E132" s="122" t="s">
        <v>130</v>
      </c>
      <c r="F132" s="169" t="s">
        <v>131</v>
      </c>
      <c r="G132" s="257">
        <v>3000</v>
      </c>
      <c r="H132" s="306">
        <f>G132/G131</f>
        <v>1</v>
      </c>
      <c r="I132" s="296" t="s">
        <v>157</v>
      </c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  <c r="Z132" s="169"/>
      <c r="AA132" s="169"/>
      <c r="AB132" s="169"/>
      <c r="AC132" s="169"/>
      <c r="AD132" s="169"/>
    </row>
    <row r="133" spans="1:30" ht="16">
      <c r="A133" s="307"/>
      <c r="B133" s="301"/>
      <c r="C133" s="301"/>
      <c r="D133" s="284" t="s">
        <v>49</v>
      </c>
      <c r="E133" s="302"/>
      <c r="F133" s="290" t="s">
        <v>68</v>
      </c>
      <c r="G133" s="291">
        <f>SUM(G134:G141)</f>
        <v>26900</v>
      </c>
      <c r="H133" s="292">
        <f>G133/$G$130</f>
        <v>0.89966555183946484</v>
      </c>
      <c r="I133" s="308" t="s">
        <v>451</v>
      </c>
      <c r="J133" s="29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  <c r="AA133" s="174"/>
      <c r="AB133" s="174"/>
      <c r="AC133" s="174"/>
      <c r="AD133" s="174"/>
    </row>
    <row r="134" spans="1:30" ht="15.5">
      <c r="A134" s="309"/>
      <c r="B134" s="310"/>
      <c r="C134" s="310"/>
      <c r="D134" s="309"/>
      <c r="E134" s="146" t="s">
        <v>126</v>
      </c>
      <c r="F134" s="168" t="s">
        <v>127</v>
      </c>
      <c r="G134" s="225">
        <v>4000</v>
      </c>
      <c r="H134" s="226">
        <f>G134/$G$133</f>
        <v>0.14869888475836432</v>
      </c>
      <c r="I134" s="297" t="s">
        <v>238</v>
      </c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8"/>
      <c r="AC134" s="168"/>
      <c r="AD134" s="168"/>
    </row>
    <row r="135" spans="1:30" ht="15.5">
      <c r="A135" s="309"/>
      <c r="B135" s="310"/>
      <c r="C135" s="310"/>
      <c r="D135" s="309"/>
      <c r="E135" s="146"/>
      <c r="F135" s="168"/>
      <c r="G135" s="225"/>
      <c r="H135" s="226"/>
      <c r="I135" s="297" t="s">
        <v>239</v>
      </c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  <c r="AB135" s="168"/>
      <c r="AC135" s="168"/>
      <c r="AD135" s="168"/>
    </row>
    <row r="136" spans="1:30" ht="15.5">
      <c r="A136" s="309"/>
      <c r="B136" s="310"/>
      <c r="C136" s="310"/>
      <c r="D136" s="309"/>
      <c r="E136" s="146"/>
      <c r="F136" s="168"/>
      <c r="G136" s="225"/>
      <c r="H136" s="226"/>
      <c r="I136" s="297" t="s">
        <v>240</v>
      </c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  <c r="AB136" s="168"/>
      <c r="AC136" s="168"/>
      <c r="AD136" s="168"/>
    </row>
    <row r="137" spans="1:30" ht="15.5">
      <c r="A137" s="307"/>
      <c r="B137" s="310"/>
      <c r="C137" s="310"/>
      <c r="D137" s="311"/>
      <c r="E137" s="146" t="s">
        <v>204</v>
      </c>
      <c r="F137" s="168" t="s">
        <v>205</v>
      </c>
      <c r="G137" s="225">
        <v>8000</v>
      </c>
      <c r="H137" s="226">
        <f t="shared" ref="H137:H141" si="11">G137/$G$133</f>
        <v>0.29739776951672864</v>
      </c>
      <c r="I137" s="297" t="s">
        <v>241</v>
      </c>
      <c r="J137" s="195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8"/>
      <c r="AB137" s="168"/>
      <c r="AC137" s="168"/>
      <c r="AD137" s="168"/>
    </row>
    <row r="138" spans="1:30" ht="15.5">
      <c r="A138" s="307"/>
      <c r="B138" s="310"/>
      <c r="C138" s="310"/>
      <c r="D138" s="311"/>
      <c r="E138" s="146" t="s">
        <v>218</v>
      </c>
      <c r="F138" s="168" t="s">
        <v>219</v>
      </c>
      <c r="G138" s="225">
        <v>4000</v>
      </c>
      <c r="H138" s="226">
        <f t="shared" si="11"/>
        <v>0.14869888475836432</v>
      </c>
      <c r="I138" s="297" t="s">
        <v>242</v>
      </c>
      <c r="J138" s="195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  <c r="AC138" s="168"/>
      <c r="AD138" s="168"/>
    </row>
    <row r="139" spans="1:30" ht="15.5">
      <c r="A139" s="309"/>
      <c r="B139" s="310"/>
      <c r="C139" s="310"/>
      <c r="D139" s="312"/>
      <c r="E139" s="146" t="s">
        <v>133</v>
      </c>
      <c r="F139" s="168" t="s">
        <v>134</v>
      </c>
      <c r="G139" s="225">
        <v>600</v>
      </c>
      <c r="H139" s="226">
        <f t="shared" si="11"/>
        <v>2.2304832713754646E-2</v>
      </c>
      <c r="I139" s="297" t="s">
        <v>243</v>
      </c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  <c r="AA139" s="168"/>
      <c r="AB139" s="168"/>
      <c r="AC139" s="168"/>
      <c r="AD139" s="168"/>
    </row>
    <row r="140" spans="1:30" ht="15.5">
      <c r="A140" s="307"/>
      <c r="B140" s="310"/>
      <c r="C140" s="310"/>
      <c r="D140" s="311"/>
      <c r="E140" s="146" t="s">
        <v>162</v>
      </c>
      <c r="F140" s="168" t="s">
        <v>163</v>
      </c>
      <c r="G140" s="225">
        <v>9800</v>
      </c>
      <c r="H140" s="226">
        <f t="shared" si="11"/>
        <v>0.36431226765799257</v>
      </c>
      <c r="I140" s="297" t="s">
        <v>244</v>
      </c>
      <c r="J140" s="195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8"/>
      <c r="AB140" s="168"/>
      <c r="AC140" s="168"/>
      <c r="AD140" s="168"/>
    </row>
    <row r="141" spans="1:30" ht="15.5">
      <c r="A141" s="309"/>
      <c r="B141" s="310"/>
      <c r="C141" s="310"/>
      <c r="D141" s="312"/>
      <c r="E141" s="146" t="s">
        <v>138</v>
      </c>
      <c r="F141" s="168" t="s">
        <v>139</v>
      </c>
      <c r="G141" s="225">
        <v>500</v>
      </c>
      <c r="H141" s="226">
        <f t="shared" si="11"/>
        <v>1.858736059479554E-2</v>
      </c>
      <c r="I141" s="297" t="s">
        <v>245</v>
      </c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8"/>
      <c r="AB141" s="168"/>
      <c r="AC141" s="168"/>
      <c r="AD141" s="168"/>
    </row>
    <row r="142" spans="1:30" ht="15.5">
      <c r="A142" s="149"/>
      <c r="B142" s="150"/>
      <c r="C142" s="150"/>
      <c r="D142" s="150"/>
      <c r="E142" s="146"/>
      <c r="F142" s="194"/>
      <c r="G142" s="263"/>
      <c r="H142" s="247"/>
      <c r="I142" s="194"/>
      <c r="J142" s="195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  <c r="AA142" s="168"/>
      <c r="AB142" s="168"/>
      <c r="AC142" s="168"/>
      <c r="AD142" s="168"/>
    </row>
    <row r="143" spans="1:30" ht="15.5">
      <c r="A143" s="149"/>
      <c r="B143" s="234"/>
      <c r="C143" s="234" t="s">
        <v>54</v>
      </c>
      <c r="D143" s="234" t="s">
        <v>47</v>
      </c>
      <c r="E143" s="243"/>
      <c r="F143" s="221" t="s">
        <v>69</v>
      </c>
      <c r="G143" s="256">
        <f>G144+G146+G152+G157+G161</f>
        <v>40400</v>
      </c>
      <c r="H143" s="220">
        <f>G143/$G$74</f>
        <v>0.25200229546645375</v>
      </c>
      <c r="I143" s="221"/>
      <c r="J143" s="244"/>
      <c r="K143" s="245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  <c r="AA143" s="245"/>
      <c r="AB143" s="245"/>
      <c r="AC143" s="245"/>
      <c r="AD143" s="245"/>
    </row>
    <row r="144" spans="1:30" ht="15.5">
      <c r="A144" s="283"/>
      <c r="B144" s="284"/>
      <c r="C144" s="284"/>
      <c r="D144" s="313" t="s">
        <v>46</v>
      </c>
      <c r="E144" s="314"/>
      <c r="F144" s="295" t="s">
        <v>48</v>
      </c>
      <c r="G144" s="291">
        <f>G145</f>
        <v>3000</v>
      </c>
      <c r="H144" s="292">
        <f>G144/$G$143</f>
        <v>7.4257425742574254E-2</v>
      </c>
      <c r="I144" s="295"/>
      <c r="J144" s="29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  <c r="AA144" s="174"/>
      <c r="AB144" s="174"/>
      <c r="AC144" s="174"/>
      <c r="AD144" s="174"/>
    </row>
    <row r="145" spans="1:30" ht="15.5">
      <c r="A145" s="149"/>
      <c r="B145" s="150"/>
      <c r="C145" s="150"/>
      <c r="D145" s="315"/>
      <c r="E145" s="316" t="s">
        <v>130</v>
      </c>
      <c r="F145" s="228" t="s">
        <v>131</v>
      </c>
      <c r="G145" s="317">
        <v>3000</v>
      </c>
      <c r="H145" s="226">
        <f>G145/G144</f>
        <v>1</v>
      </c>
      <c r="I145" s="288" t="s">
        <v>157</v>
      </c>
      <c r="J145" s="195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8"/>
      <c r="AB145" s="168"/>
      <c r="AC145" s="168"/>
      <c r="AD145" s="168"/>
    </row>
    <row r="146" spans="1:30" ht="15.5">
      <c r="A146" s="307"/>
      <c r="B146" s="301"/>
      <c r="C146" s="301"/>
      <c r="D146" s="284" t="s">
        <v>49</v>
      </c>
      <c r="E146" s="302"/>
      <c r="F146" s="290" t="s">
        <v>70</v>
      </c>
      <c r="G146" s="291">
        <f>SUM(G147:G151)</f>
        <v>5400</v>
      </c>
      <c r="H146" s="292">
        <f>G146/$G$143</f>
        <v>0.13366336633663367</v>
      </c>
      <c r="I146" s="295"/>
      <c r="J146" s="29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  <c r="AA146" s="174"/>
      <c r="AB146" s="174"/>
      <c r="AC146" s="174"/>
      <c r="AD146" s="174"/>
    </row>
    <row r="147" spans="1:30" ht="15.5">
      <c r="A147" s="149"/>
      <c r="B147" s="150"/>
      <c r="C147" s="150"/>
      <c r="D147" s="150"/>
      <c r="E147" s="146" t="s">
        <v>126</v>
      </c>
      <c r="F147" s="168" t="s">
        <v>127</v>
      </c>
      <c r="G147" s="225">
        <v>3200</v>
      </c>
      <c r="H147" s="226">
        <f t="shared" ref="H147:H148" si="12">G147/$G$146</f>
        <v>0.59259259259259256</v>
      </c>
      <c r="I147" s="228" t="s">
        <v>246</v>
      </c>
      <c r="J147" s="195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8"/>
      <c r="AB147" s="168"/>
      <c r="AC147" s="168"/>
      <c r="AD147" s="168"/>
    </row>
    <row r="148" spans="1:30" ht="15.5">
      <c r="A148" s="149"/>
      <c r="B148" s="150"/>
      <c r="C148" s="150"/>
      <c r="D148" s="150"/>
      <c r="E148" s="146" t="s">
        <v>191</v>
      </c>
      <c r="F148" s="168" t="s">
        <v>192</v>
      </c>
      <c r="G148" s="225">
        <v>1000</v>
      </c>
      <c r="H148" s="226">
        <f t="shared" si="12"/>
        <v>0.18518518518518517</v>
      </c>
      <c r="I148" s="228" t="s">
        <v>247</v>
      </c>
      <c r="J148" s="195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  <c r="AA148" s="168"/>
      <c r="AB148" s="168"/>
      <c r="AC148" s="168"/>
      <c r="AD148" s="168"/>
    </row>
    <row r="149" spans="1:30" ht="15.5">
      <c r="A149" s="149"/>
      <c r="B149" s="150"/>
      <c r="C149" s="150"/>
      <c r="D149" s="150"/>
      <c r="E149" s="146"/>
      <c r="F149" s="168"/>
      <c r="G149" s="225"/>
      <c r="H149" s="226"/>
      <c r="I149" s="228" t="s">
        <v>248</v>
      </c>
      <c r="J149" s="195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  <c r="AA149" s="168"/>
      <c r="AB149" s="168"/>
      <c r="AC149" s="168"/>
      <c r="AD149" s="168"/>
    </row>
    <row r="150" spans="1:30" ht="15.5">
      <c r="A150" s="149"/>
      <c r="B150" s="150"/>
      <c r="C150" s="150"/>
      <c r="D150" s="150"/>
      <c r="E150" s="146" t="s">
        <v>162</v>
      </c>
      <c r="F150" s="168" t="s">
        <v>163</v>
      </c>
      <c r="G150" s="225">
        <v>700</v>
      </c>
      <c r="H150" s="226">
        <f t="shared" ref="H150:H151" si="13">G150/$G$146</f>
        <v>0.12962962962962962</v>
      </c>
      <c r="I150" s="228" t="s">
        <v>249</v>
      </c>
      <c r="J150" s="195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  <c r="AA150" s="168"/>
      <c r="AB150" s="168"/>
      <c r="AC150" s="168"/>
      <c r="AD150" s="168"/>
    </row>
    <row r="151" spans="1:30" ht="15.5">
      <c r="A151" s="149"/>
      <c r="B151" s="150"/>
      <c r="C151" s="150"/>
      <c r="D151" s="150"/>
      <c r="E151" s="146" t="s">
        <v>138</v>
      </c>
      <c r="F151" s="168" t="s">
        <v>139</v>
      </c>
      <c r="G151" s="225">
        <v>500</v>
      </c>
      <c r="H151" s="226">
        <f t="shared" si="13"/>
        <v>9.2592592592592587E-2</v>
      </c>
      <c r="I151" s="228" t="s">
        <v>245</v>
      </c>
      <c r="J151" s="195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  <c r="AB151" s="168"/>
      <c r="AC151" s="168"/>
      <c r="AD151" s="168"/>
    </row>
    <row r="152" spans="1:30" ht="15.5">
      <c r="A152" s="307"/>
      <c r="B152" s="301"/>
      <c r="C152" s="301"/>
      <c r="D152" s="284" t="s">
        <v>53</v>
      </c>
      <c r="E152" s="302"/>
      <c r="F152" s="290" t="s">
        <v>71</v>
      </c>
      <c r="G152" s="291">
        <f>SUM(G153:G156)</f>
        <v>6100</v>
      </c>
      <c r="H152" s="292">
        <f>G152/$G$143</f>
        <v>0.15099009900990099</v>
      </c>
      <c r="I152" s="295"/>
      <c r="J152" s="29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  <c r="AA152" s="174"/>
      <c r="AB152" s="174"/>
      <c r="AC152" s="174"/>
      <c r="AD152" s="174"/>
    </row>
    <row r="153" spans="1:30" ht="15.5">
      <c r="A153" s="149"/>
      <c r="B153" s="150"/>
      <c r="C153" s="150"/>
      <c r="D153" s="150"/>
      <c r="E153" s="150" t="s">
        <v>126</v>
      </c>
      <c r="F153" s="168" t="s">
        <v>127</v>
      </c>
      <c r="G153" s="225">
        <v>1600</v>
      </c>
      <c r="H153" s="226">
        <f t="shared" ref="H153:H154" si="14">G153/$G$152</f>
        <v>0.26229508196721313</v>
      </c>
      <c r="I153" s="228" t="s">
        <v>250</v>
      </c>
      <c r="J153" s="195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  <c r="AC153" s="168"/>
      <c r="AD153" s="168"/>
    </row>
    <row r="154" spans="1:30" ht="15.5">
      <c r="A154" s="149"/>
      <c r="B154" s="150"/>
      <c r="C154" s="150"/>
      <c r="D154" s="150"/>
      <c r="E154" s="150" t="s">
        <v>191</v>
      </c>
      <c r="F154" s="168" t="s">
        <v>192</v>
      </c>
      <c r="G154" s="225">
        <v>1000</v>
      </c>
      <c r="H154" s="226">
        <f t="shared" si="14"/>
        <v>0.16393442622950818</v>
      </c>
      <c r="I154" s="228" t="s">
        <v>251</v>
      </c>
      <c r="J154" s="195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8"/>
      <c r="AB154" s="168"/>
      <c r="AC154" s="168"/>
      <c r="AD154" s="168"/>
    </row>
    <row r="155" spans="1:30" ht="15.5">
      <c r="A155" s="149"/>
      <c r="B155" s="150"/>
      <c r="C155" s="150"/>
      <c r="D155" s="150"/>
      <c r="E155" s="146"/>
      <c r="F155" s="168"/>
      <c r="G155" s="225"/>
      <c r="H155" s="226"/>
      <c r="I155" s="228" t="s">
        <v>252</v>
      </c>
      <c r="J155" s="195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  <c r="AC155" s="168"/>
      <c r="AD155" s="168"/>
    </row>
    <row r="156" spans="1:30" ht="15.5">
      <c r="A156" s="149"/>
      <c r="B156" s="150"/>
      <c r="C156" s="150"/>
      <c r="D156" s="150"/>
      <c r="E156" s="146" t="s">
        <v>162</v>
      </c>
      <c r="F156" s="168" t="s">
        <v>163</v>
      </c>
      <c r="G156" s="225">
        <v>3500</v>
      </c>
      <c r="H156" s="226">
        <f>G156/$G$152</f>
        <v>0.57377049180327866</v>
      </c>
      <c r="I156" s="228" t="s">
        <v>253</v>
      </c>
      <c r="J156" s="195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  <c r="AB156" s="168"/>
      <c r="AC156" s="168"/>
      <c r="AD156" s="168"/>
    </row>
    <row r="157" spans="1:30" ht="15.5">
      <c r="A157" s="307"/>
      <c r="B157" s="301"/>
      <c r="C157" s="301"/>
      <c r="D157" s="284" t="s">
        <v>54</v>
      </c>
      <c r="E157" s="302"/>
      <c r="F157" s="290" t="s">
        <v>72</v>
      </c>
      <c r="G157" s="318">
        <f>SUM(G158:G160)</f>
        <v>5600</v>
      </c>
      <c r="H157" s="319">
        <f>G157/$G$143</f>
        <v>0.13861386138613863</v>
      </c>
      <c r="I157" s="285"/>
      <c r="J157" s="29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  <c r="AA157" s="174"/>
      <c r="AB157" s="174"/>
      <c r="AC157" s="174"/>
      <c r="AD157" s="174"/>
    </row>
    <row r="158" spans="1:30" ht="15.5">
      <c r="A158" s="149"/>
      <c r="B158" s="150"/>
      <c r="C158" s="150"/>
      <c r="D158" s="150"/>
      <c r="E158" s="150" t="s">
        <v>126</v>
      </c>
      <c r="F158" s="168" t="s">
        <v>127</v>
      </c>
      <c r="G158" s="320">
        <v>1400</v>
      </c>
      <c r="H158" s="226">
        <f t="shared" ref="H158:H159" si="15">G158/$G$157</f>
        <v>0.25</v>
      </c>
      <c r="I158" s="321" t="s">
        <v>254</v>
      </c>
      <c r="J158" s="195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  <c r="AC158" s="168"/>
      <c r="AD158" s="168"/>
    </row>
    <row r="159" spans="1:30" ht="15.5">
      <c r="A159" s="149"/>
      <c r="B159" s="150"/>
      <c r="C159" s="150"/>
      <c r="D159" s="150"/>
      <c r="E159" s="150" t="s">
        <v>191</v>
      </c>
      <c r="F159" s="168" t="s">
        <v>192</v>
      </c>
      <c r="G159" s="225">
        <v>4200</v>
      </c>
      <c r="H159" s="226">
        <f t="shared" si="15"/>
        <v>0.75</v>
      </c>
      <c r="I159" s="228" t="s">
        <v>255</v>
      </c>
      <c r="J159" s="195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  <c r="AC159" s="168"/>
      <c r="AD159" s="168"/>
    </row>
    <row r="160" spans="1:30" ht="15.5">
      <c r="A160" s="149"/>
      <c r="B160" s="150"/>
      <c r="C160" s="150"/>
      <c r="D160" s="150"/>
      <c r="E160" s="146"/>
      <c r="F160" s="168"/>
      <c r="G160" s="225"/>
      <c r="H160" s="226"/>
      <c r="I160" s="228" t="s">
        <v>256</v>
      </c>
      <c r="J160" s="195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8"/>
      <c r="AC160" s="168"/>
      <c r="AD160" s="168"/>
    </row>
    <row r="161" spans="1:30" ht="15.5">
      <c r="A161" s="307"/>
      <c r="B161" s="301"/>
      <c r="C161" s="301"/>
      <c r="D161" s="284" t="s">
        <v>56</v>
      </c>
      <c r="E161" s="302"/>
      <c r="F161" s="290" t="s">
        <v>73</v>
      </c>
      <c r="G161" s="318">
        <f>SUM(G162:G166)</f>
        <v>20300</v>
      </c>
      <c r="H161" s="319">
        <f>G161/$G$143</f>
        <v>0.50247524752475248</v>
      </c>
      <c r="I161" s="285"/>
      <c r="J161" s="29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  <c r="AA161" s="174"/>
      <c r="AB161" s="174"/>
      <c r="AC161" s="174"/>
      <c r="AD161" s="174"/>
    </row>
    <row r="162" spans="1:30" ht="15.5">
      <c r="A162" s="180"/>
      <c r="B162" s="180"/>
      <c r="C162" s="150"/>
      <c r="D162" s="150"/>
      <c r="E162" s="146" t="s">
        <v>126</v>
      </c>
      <c r="F162" s="224" t="s">
        <v>127</v>
      </c>
      <c r="G162" s="263">
        <v>2000</v>
      </c>
      <c r="H162" s="206">
        <f t="shared" ref="H162:H163" si="16">G162/$G$161</f>
        <v>9.8522167487684734E-2</v>
      </c>
      <c r="I162" s="227" t="s">
        <v>257</v>
      </c>
      <c r="J162" s="195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168"/>
      <c r="AC162" s="168"/>
      <c r="AD162" s="166"/>
    </row>
    <row r="163" spans="1:30" ht="15.5">
      <c r="A163" s="180"/>
      <c r="B163" s="180"/>
      <c r="C163" s="150"/>
      <c r="D163" s="150"/>
      <c r="E163" s="146" t="s">
        <v>191</v>
      </c>
      <c r="F163" s="224" t="s">
        <v>192</v>
      </c>
      <c r="G163" s="263">
        <v>1000</v>
      </c>
      <c r="H163" s="206">
        <f t="shared" si="16"/>
        <v>4.9261083743842367E-2</v>
      </c>
      <c r="I163" s="227" t="s">
        <v>258</v>
      </c>
      <c r="J163" s="195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8"/>
      <c r="AC163" s="168"/>
      <c r="AD163" s="166"/>
    </row>
    <row r="164" spans="1:30" ht="15.5">
      <c r="A164" s="180"/>
      <c r="B164" s="180"/>
      <c r="C164" s="150"/>
      <c r="D164" s="150"/>
      <c r="E164" s="146"/>
      <c r="F164" s="224"/>
      <c r="G164" s="263"/>
      <c r="H164" s="206"/>
      <c r="I164" s="227" t="s">
        <v>259</v>
      </c>
      <c r="J164" s="195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168"/>
      <c r="AC164" s="168"/>
      <c r="AD164" s="166"/>
    </row>
    <row r="165" spans="1:30" ht="15.5">
      <c r="A165" s="180"/>
      <c r="B165" s="180"/>
      <c r="C165" s="150"/>
      <c r="D165" s="150"/>
      <c r="E165" s="146" t="s">
        <v>204</v>
      </c>
      <c r="F165" s="224" t="s">
        <v>205</v>
      </c>
      <c r="G165" s="263">
        <v>16800</v>
      </c>
      <c r="H165" s="206">
        <f t="shared" ref="H165:H166" si="17">G165/$G$161</f>
        <v>0.82758620689655171</v>
      </c>
      <c r="I165" s="227" t="s">
        <v>260</v>
      </c>
      <c r="J165" s="195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168"/>
      <c r="AC165" s="168"/>
      <c r="AD165" s="166"/>
    </row>
    <row r="166" spans="1:30" ht="15.5">
      <c r="A166" s="180"/>
      <c r="B166" s="180"/>
      <c r="C166" s="150"/>
      <c r="D166" s="150"/>
      <c r="E166" s="146" t="s">
        <v>138</v>
      </c>
      <c r="F166" s="224" t="s">
        <v>139</v>
      </c>
      <c r="G166" s="263">
        <v>500</v>
      </c>
      <c r="H166" s="206">
        <f t="shared" si="17"/>
        <v>2.4630541871921183E-2</v>
      </c>
      <c r="I166" s="227" t="s">
        <v>245</v>
      </c>
      <c r="J166" s="195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8"/>
      <c r="AC166" s="168"/>
      <c r="AD166" s="166"/>
    </row>
    <row r="167" spans="1:30" ht="15.5">
      <c r="A167" s="307"/>
      <c r="B167" s="322"/>
      <c r="C167" s="234" t="s">
        <v>51</v>
      </c>
      <c r="D167" s="234" t="s">
        <v>51</v>
      </c>
      <c r="E167" s="323"/>
      <c r="F167" s="221" t="s">
        <v>52</v>
      </c>
      <c r="G167" s="256">
        <f>ROUND((G75+G78+G112+G130+G143)/95*5,0)</f>
        <v>8016</v>
      </c>
      <c r="H167" s="324">
        <f>G167/$G$74</f>
        <v>5.0001247536116171E-2</v>
      </c>
      <c r="I167" s="325" t="s">
        <v>261</v>
      </c>
      <c r="J167" s="244"/>
      <c r="K167" s="245"/>
      <c r="L167" s="245"/>
      <c r="M167" s="245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  <c r="AA167" s="245"/>
      <c r="AB167" s="245"/>
      <c r="AC167" s="245"/>
      <c r="AD167" s="245"/>
    </row>
    <row r="168" spans="1:30" ht="15.5">
      <c r="A168" s="307"/>
      <c r="B168" s="310"/>
      <c r="C168" s="150"/>
      <c r="D168" s="150"/>
      <c r="E168" s="309"/>
      <c r="F168" s="194"/>
      <c r="G168" s="263"/>
      <c r="H168" s="247"/>
      <c r="I168" s="194"/>
      <c r="J168" s="195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  <c r="AC168" s="168"/>
      <c r="AD168" s="168"/>
    </row>
    <row r="169" spans="1:30" ht="15.5">
      <c r="A169" s="307"/>
      <c r="B169" s="310"/>
      <c r="C169" s="150"/>
      <c r="D169" s="150"/>
      <c r="E169" s="309"/>
      <c r="F169" s="194"/>
      <c r="G169" s="263"/>
      <c r="H169" s="247"/>
      <c r="I169" s="194"/>
      <c r="J169" s="195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168"/>
      <c r="AC169" s="168"/>
      <c r="AD169" s="168"/>
    </row>
    <row r="170" spans="1:30" ht="15.5">
      <c r="A170" s="149"/>
      <c r="B170" s="150"/>
      <c r="C170" s="150"/>
      <c r="D170" s="150"/>
      <c r="E170" s="146"/>
      <c r="F170" s="194"/>
      <c r="G170" s="263"/>
      <c r="H170" s="206"/>
      <c r="I170" s="194"/>
      <c r="J170" s="195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8"/>
      <c r="AC170" s="168"/>
      <c r="AD170" s="168"/>
    </row>
    <row r="171" spans="1:30" ht="15.5">
      <c r="A171" s="207"/>
      <c r="B171" s="326" t="s">
        <v>62</v>
      </c>
      <c r="C171" s="326" t="s">
        <v>47</v>
      </c>
      <c r="D171" s="326" t="s">
        <v>47</v>
      </c>
      <c r="E171" s="326"/>
      <c r="F171" s="213" t="s">
        <v>22</v>
      </c>
      <c r="G171" s="327">
        <f>G172+G175+G185+G197+G207</f>
        <v>252806</v>
      </c>
      <c r="H171" s="280">
        <f>G171/$G$8</f>
        <v>0.16152867768819046</v>
      </c>
      <c r="I171" s="213"/>
      <c r="J171" s="213"/>
      <c r="K171" s="214"/>
      <c r="L171" s="214"/>
      <c r="M171" s="214"/>
      <c r="N171" s="214"/>
      <c r="O171" s="214"/>
      <c r="P171" s="214"/>
      <c r="Q171" s="214"/>
      <c r="R171" s="214"/>
      <c r="S171" s="214"/>
      <c r="T171" s="214"/>
      <c r="U171" s="214"/>
      <c r="V171" s="214"/>
      <c r="W171" s="214"/>
      <c r="X171" s="214"/>
      <c r="Y171" s="214"/>
      <c r="Z171" s="214"/>
      <c r="AA171" s="214"/>
      <c r="AB171" s="214"/>
      <c r="AC171" s="214"/>
      <c r="AD171" s="214"/>
    </row>
    <row r="172" spans="1:30" ht="15.5">
      <c r="A172" s="307"/>
      <c r="B172" s="328"/>
      <c r="C172" s="329" t="s">
        <v>47</v>
      </c>
      <c r="D172" s="329" t="s">
        <v>46</v>
      </c>
      <c r="E172" s="330"/>
      <c r="F172" s="331" t="s">
        <v>76</v>
      </c>
      <c r="G172" s="332">
        <v>3000</v>
      </c>
      <c r="H172" s="324">
        <f>G172/$G$171</f>
        <v>1.1866806958695601E-2</v>
      </c>
      <c r="I172" s="333"/>
      <c r="J172" s="244"/>
      <c r="K172" s="245"/>
      <c r="L172" s="245"/>
      <c r="M172" s="245"/>
      <c r="N172" s="245"/>
      <c r="O172" s="245"/>
      <c r="P172" s="245"/>
      <c r="Q172" s="245"/>
      <c r="R172" s="245"/>
      <c r="S172" s="245"/>
      <c r="T172" s="245"/>
      <c r="U172" s="245"/>
      <c r="V172" s="245"/>
      <c r="W172" s="245"/>
      <c r="X172" s="245"/>
      <c r="Y172" s="245"/>
      <c r="Z172" s="245"/>
      <c r="AA172" s="245"/>
      <c r="AB172" s="245"/>
      <c r="AC172" s="245"/>
      <c r="AD172" s="245"/>
    </row>
    <row r="173" spans="1:30" ht="15.5">
      <c r="A173" s="180"/>
      <c r="B173" s="180"/>
      <c r="C173" s="150"/>
      <c r="D173" s="150"/>
      <c r="E173" s="146" t="s">
        <v>204</v>
      </c>
      <c r="F173" s="224" t="s">
        <v>205</v>
      </c>
      <c r="G173" s="263">
        <v>3000</v>
      </c>
      <c r="H173" s="206">
        <f>G173/G172</f>
        <v>1</v>
      </c>
      <c r="I173" s="227" t="s">
        <v>262</v>
      </c>
      <c r="J173" s="195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  <c r="AA173" s="168"/>
      <c r="AB173" s="168"/>
      <c r="AC173" s="168"/>
      <c r="AD173" s="166"/>
    </row>
    <row r="174" spans="1:30" ht="15.5">
      <c r="A174" s="180"/>
      <c r="B174" s="180"/>
      <c r="C174" s="150"/>
      <c r="D174" s="150"/>
      <c r="E174" s="146"/>
      <c r="F174" s="224"/>
      <c r="G174" s="263"/>
      <c r="H174" s="206"/>
      <c r="I174" s="227"/>
      <c r="J174" s="195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8"/>
      <c r="AB174" s="168"/>
      <c r="AC174" s="168"/>
      <c r="AD174" s="166"/>
    </row>
    <row r="175" spans="1:30" ht="15.5">
      <c r="A175" s="233"/>
      <c r="B175" s="328"/>
      <c r="C175" s="336" t="s">
        <v>47</v>
      </c>
      <c r="D175" s="336" t="s">
        <v>49</v>
      </c>
      <c r="E175" s="328"/>
      <c r="F175" s="244" t="s">
        <v>74</v>
      </c>
      <c r="G175" s="337">
        <f>SUM(G176:G183)</f>
        <v>73958</v>
      </c>
      <c r="H175" s="324">
        <f>G175/$G$171</f>
        <v>0.29254843635040306</v>
      </c>
      <c r="I175" s="244"/>
      <c r="J175" s="222"/>
      <c r="K175" s="245"/>
      <c r="L175" s="245"/>
      <c r="M175" s="245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  <c r="AA175" s="245"/>
      <c r="AB175" s="245"/>
      <c r="AC175" s="245"/>
      <c r="AD175" s="245"/>
    </row>
    <row r="176" spans="1:30" ht="15.5">
      <c r="A176" s="149"/>
      <c r="B176" s="338"/>
      <c r="C176" s="338"/>
      <c r="D176" s="338"/>
      <c r="E176" s="180" t="s">
        <v>204</v>
      </c>
      <c r="F176" s="195" t="s">
        <v>205</v>
      </c>
      <c r="G176" s="339">
        <v>8000</v>
      </c>
      <c r="H176" s="340">
        <f>G176/G175</f>
        <v>0.10816950160902133</v>
      </c>
      <c r="I176" s="195" t="s">
        <v>263</v>
      </c>
      <c r="J176" s="334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8"/>
      <c r="AB176" s="168"/>
      <c r="AC176" s="168"/>
      <c r="AD176" s="168"/>
    </row>
    <row r="177" spans="1:30" ht="15.5">
      <c r="A177" s="149"/>
      <c r="B177" s="338"/>
      <c r="C177" s="338"/>
      <c r="D177" s="338"/>
      <c r="E177" s="180" t="s">
        <v>133</v>
      </c>
      <c r="F177" s="195" t="s">
        <v>134</v>
      </c>
      <c r="G177" s="339">
        <v>3978</v>
      </c>
      <c r="H177" s="340">
        <f>G177/G175</f>
        <v>5.378728467508586E-2</v>
      </c>
      <c r="I177" s="195" t="s">
        <v>264</v>
      </c>
      <c r="J177" s="334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  <c r="AA177" s="168"/>
      <c r="AB177" s="168"/>
      <c r="AC177" s="168"/>
      <c r="AD177" s="168"/>
    </row>
    <row r="178" spans="1:30" ht="15.5">
      <c r="A178" s="149"/>
      <c r="B178" s="338"/>
      <c r="C178" s="338"/>
      <c r="D178" s="338"/>
      <c r="E178" s="338"/>
      <c r="F178" s="195"/>
      <c r="G178" s="341"/>
      <c r="H178" s="282"/>
      <c r="I178" s="195" t="s">
        <v>265</v>
      </c>
      <c r="J178" s="334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  <c r="AA178" s="168"/>
      <c r="AB178" s="168"/>
      <c r="AC178" s="168"/>
      <c r="AD178" s="168"/>
    </row>
    <row r="179" spans="1:30" ht="15.5">
      <c r="A179" s="149"/>
      <c r="B179" s="338"/>
      <c r="C179" s="338"/>
      <c r="D179" s="338"/>
      <c r="E179" s="338"/>
      <c r="F179" s="195"/>
      <c r="G179" s="341"/>
      <c r="H179" s="282"/>
      <c r="I179" s="195" t="s">
        <v>266</v>
      </c>
      <c r="J179" s="334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  <c r="AA179" s="168"/>
      <c r="AB179" s="168"/>
      <c r="AC179" s="168"/>
      <c r="AD179" s="168"/>
    </row>
    <row r="180" spans="1:30" ht="15.5">
      <c r="A180" s="149"/>
      <c r="B180" s="338"/>
      <c r="C180" s="338"/>
      <c r="D180" s="338"/>
      <c r="E180" s="180" t="s">
        <v>146</v>
      </c>
      <c r="F180" s="195" t="s">
        <v>147</v>
      </c>
      <c r="G180" s="339">
        <v>1200</v>
      </c>
      <c r="H180" s="340">
        <f>G180/G175</f>
        <v>1.6225425241353199E-2</v>
      </c>
      <c r="I180" s="195" t="s">
        <v>267</v>
      </c>
      <c r="J180" s="334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</row>
    <row r="181" spans="1:30" ht="15.5">
      <c r="A181" s="149"/>
      <c r="B181" s="338"/>
      <c r="C181" s="338"/>
      <c r="D181" s="338"/>
      <c r="E181" s="180" t="s">
        <v>268</v>
      </c>
      <c r="F181" s="195" t="s">
        <v>269</v>
      </c>
      <c r="G181" s="339">
        <v>180</v>
      </c>
      <c r="H181" s="340">
        <f>G181/G175</f>
        <v>2.4338137862029803E-3</v>
      </c>
      <c r="I181" s="195" t="s">
        <v>270</v>
      </c>
      <c r="J181" s="195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  <c r="AA181" s="168"/>
      <c r="AB181" s="168"/>
      <c r="AC181" s="168"/>
      <c r="AD181" s="168"/>
    </row>
    <row r="182" spans="1:30" ht="15.5">
      <c r="A182" s="149"/>
      <c r="B182" s="338"/>
      <c r="C182" s="338"/>
      <c r="D182" s="338"/>
      <c r="E182" s="180" t="s">
        <v>271</v>
      </c>
      <c r="F182" s="342" t="s">
        <v>272</v>
      </c>
      <c r="G182" s="339">
        <v>60000</v>
      </c>
      <c r="H182" s="340">
        <f>G182/G175</f>
        <v>0.81127126206765998</v>
      </c>
      <c r="I182" s="195" t="s">
        <v>273</v>
      </c>
      <c r="J182" s="195"/>
      <c r="K182" s="245"/>
      <c r="L182" s="245"/>
      <c r="M182" s="245"/>
      <c r="N182" s="245"/>
      <c r="O182" s="245"/>
      <c r="P182" s="245"/>
      <c r="Q182" s="245"/>
      <c r="R182" s="245"/>
      <c r="S182" s="245"/>
      <c r="T182" s="245"/>
      <c r="U182" s="245"/>
      <c r="V182" s="245"/>
      <c r="W182" s="245"/>
      <c r="X182" s="245"/>
      <c r="Y182" s="245"/>
      <c r="Z182" s="245"/>
      <c r="AA182" s="245"/>
      <c r="AB182" s="245"/>
      <c r="AC182" s="245"/>
      <c r="AD182" s="245"/>
    </row>
    <row r="183" spans="1:30" ht="15.5">
      <c r="A183" s="149"/>
      <c r="B183" s="338"/>
      <c r="C183" s="338"/>
      <c r="D183" s="338"/>
      <c r="E183" s="180" t="s">
        <v>165</v>
      </c>
      <c r="F183" s="195" t="s">
        <v>166</v>
      </c>
      <c r="G183" s="339">
        <v>600</v>
      </c>
      <c r="H183" s="340">
        <f>G183/G175</f>
        <v>8.1127126206765997E-3</v>
      </c>
      <c r="I183" s="194" t="s">
        <v>274</v>
      </c>
      <c r="J183" s="195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  <c r="AA183" s="168"/>
      <c r="AB183" s="168"/>
      <c r="AC183" s="168"/>
      <c r="AD183" s="168"/>
    </row>
    <row r="184" spans="1:30" ht="15.5">
      <c r="A184" s="149"/>
      <c r="B184" s="338"/>
      <c r="C184" s="338"/>
      <c r="D184" s="338"/>
      <c r="E184" s="180"/>
      <c r="F184" s="195"/>
      <c r="G184" s="339"/>
      <c r="H184" s="340"/>
      <c r="I184" s="195"/>
      <c r="J184" s="195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  <c r="AA184" s="168"/>
      <c r="AB184" s="168"/>
      <c r="AC184" s="168"/>
      <c r="AD184" s="168"/>
    </row>
    <row r="185" spans="1:30" ht="15.5">
      <c r="A185" s="233"/>
      <c r="B185" s="328"/>
      <c r="C185" s="336" t="s">
        <v>47</v>
      </c>
      <c r="D185" s="336" t="s">
        <v>53</v>
      </c>
      <c r="E185" s="345"/>
      <c r="F185" s="346" t="s">
        <v>75</v>
      </c>
      <c r="G185" s="347">
        <f>SUM(G186:G195)</f>
        <v>116008</v>
      </c>
      <c r="H185" s="324">
        <f>G185/$G$171</f>
        <v>0.45888151388811976</v>
      </c>
      <c r="I185" s="348"/>
      <c r="J185" s="349"/>
      <c r="K185" s="245"/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  <c r="AA185" s="245"/>
      <c r="AB185" s="245"/>
      <c r="AC185" s="245"/>
      <c r="AD185" s="245"/>
    </row>
    <row r="186" spans="1:30" ht="15.5">
      <c r="A186" s="149"/>
      <c r="B186" s="338"/>
      <c r="C186" s="338"/>
      <c r="D186" s="338"/>
      <c r="E186" s="180" t="s">
        <v>204</v>
      </c>
      <c r="F186" s="342" t="s">
        <v>205</v>
      </c>
      <c r="G186" s="339">
        <v>8000</v>
      </c>
      <c r="H186" s="340">
        <f>G186/G185</f>
        <v>6.8960761326805051E-2</v>
      </c>
      <c r="I186" s="195" t="s">
        <v>275</v>
      </c>
      <c r="J186" s="334"/>
      <c r="K186" s="245"/>
      <c r="L186" s="245"/>
      <c r="M186" s="245"/>
      <c r="N186" s="245"/>
      <c r="O186" s="245"/>
      <c r="P186" s="245"/>
      <c r="Q186" s="245"/>
      <c r="R186" s="245"/>
      <c r="S186" s="245"/>
      <c r="T186" s="245"/>
      <c r="U186" s="245"/>
      <c r="V186" s="245"/>
      <c r="W186" s="245"/>
      <c r="X186" s="245"/>
      <c r="Y186" s="245"/>
      <c r="Z186" s="245"/>
      <c r="AA186" s="245"/>
      <c r="AB186" s="245"/>
      <c r="AC186" s="245"/>
      <c r="AD186" s="245"/>
    </row>
    <row r="187" spans="1:30" ht="15.5">
      <c r="A187" s="149"/>
      <c r="B187" s="338"/>
      <c r="C187" s="338"/>
      <c r="D187" s="338"/>
      <c r="E187" s="180" t="s">
        <v>158</v>
      </c>
      <c r="F187" s="342" t="s">
        <v>159</v>
      </c>
      <c r="G187" s="339">
        <v>1500</v>
      </c>
      <c r="H187" s="340">
        <f>G187/G185</f>
        <v>1.2930142748775946E-2</v>
      </c>
      <c r="I187" s="195" t="s">
        <v>276</v>
      </c>
      <c r="J187" s="334"/>
      <c r="K187" s="245"/>
      <c r="L187" s="245"/>
      <c r="M187" s="245"/>
      <c r="N187" s="24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  <c r="AA187" s="245"/>
      <c r="AB187" s="245"/>
      <c r="AC187" s="245"/>
      <c r="AD187" s="245"/>
    </row>
    <row r="188" spans="1:30" ht="15.5">
      <c r="A188" s="149"/>
      <c r="B188" s="338"/>
      <c r="C188" s="338"/>
      <c r="D188" s="338"/>
      <c r="E188" s="180" t="s">
        <v>133</v>
      </c>
      <c r="F188" s="342" t="s">
        <v>134</v>
      </c>
      <c r="G188" s="339">
        <v>12978</v>
      </c>
      <c r="H188" s="340">
        <f>G188/G185</f>
        <v>0.11187159506240948</v>
      </c>
      <c r="I188" s="195" t="s">
        <v>277</v>
      </c>
      <c r="J188" s="334"/>
      <c r="K188" s="245"/>
      <c r="L188" s="245"/>
      <c r="M188" s="245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  <c r="AA188" s="245"/>
      <c r="AB188" s="245"/>
      <c r="AC188" s="245"/>
      <c r="AD188" s="245"/>
    </row>
    <row r="189" spans="1:30" ht="15.5">
      <c r="A189" s="149"/>
      <c r="B189" s="338"/>
      <c r="C189" s="338"/>
      <c r="D189" s="338"/>
      <c r="E189" s="180"/>
      <c r="F189" s="342"/>
      <c r="G189" s="339"/>
      <c r="H189" s="340"/>
      <c r="I189" s="195" t="s">
        <v>265</v>
      </c>
      <c r="J189" s="334"/>
      <c r="K189" s="245"/>
      <c r="L189" s="245"/>
      <c r="M189" s="245"/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  <c r="AA189" s="245"/>
      <c r="AB189" s="245"/>
      <c r="AC189" s="245"/>
      <c r="AD189" s="245"/>
    </row>
    <row r="190" spans="1:30" ht="15.5">
      <c r="A190" s="149"/>
      <c r="B190" s="338"/>
      <c r="C190" s="338"/>
      <c r="D190" s="338"/>
      <c r="E190" s="180"/>
      <c r="F190" s="342"/>
      <c r="G190" s="339"/>
      <c r="H190" s="340"/>
      <c r="I190" s="195" t="s">
        <v>266</v>
      </c>
      <c r="J190" s="334"/>
      <c r="K190" s="245"/>
      <c r="L190" s="245"/>
      <c r="M190" s="245"/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  <c r="AA190" s="245"/>
      <c r="AB190" s="245"/>
      <c r="AC190" s="245"/>
      <c r="AD190" s="245"/>
    </row>
    <row r="191" spans="1:30" ht="15.5">
      <c r="A191" s="149"/>
      <c r="B191" s="338"/>
      <c r="C191" s="338"/>
      <c r="D191" s="338"/>
      <c r="E191" s="180"/>
      <c r="F191" s="342"/>
      <c r="G191" s="339"/>
      <c r="H191" s="340"/>
      <c r="I191" s="195" t="s">
        <v>278</v>
      </c>
      <c r="J191" s="334"/>
      <c r="K191" s="245"/>
      <c r="L191" s="245"/>
      <c r="M191" s="245"/>
      <c r="N191" s="245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  <c r="AA191" s="245"/>
      <c r="AB191" s="245"/>
      <c r="AC191" s="245"/>
      <c r="AD191" s="245"/>
    </row>
    <row r="192" spans="1:30" ht="15.5">
      <c r="A192" s="149"/>
      <c r="B192" s="338"/>
      <c r="C192" s="338"/>
      <c r="D192" s="338"/>
      <c r="E192" s="180" t="s">
        <v>146</v>
      </c>
      <c r="F192" s="342" t="s">
        <v>147</v>
      </c>
      <c r="G192" s="339">
        <v>1200</v>
      </c>
      <c r="H192" s="340">
        <f>G192/G185</f>
        <v>1.0344114199020758E-2</v>
      </c>
      <c r="I192" s="195" t="s">
        <v>267</v>
      </c>
      <c r="J192" s="334"/>
      <c r="K192" s="245"/>
      <c r="L192" s="245"/>
      <c r="M192" s="245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  <c r="AA192" s="245"/>
      <c r="AB192" s="245"/>
      <c r="AC192" s="245"/>
      <c r="AD192" s="245"/>
    </row>
    <row r="193" spans="1:30" ht="15.5">
      <c r="A193" s="149"/>
      <c r="B193" s="338"/>
      <c r="C193" s="338"/>
      <c r="D193" s="338"/>
      <c r="E193" s="180" t="s">
        <v>268</v>
      </c>
      <c r="F193" s="342" t="s">
        <v>269</v>
      </c>
      <c r="G193" s="339">
        <v>180</v>
      </c>
      <c r="H193" s="340">
        <f>G193/G185</f>
        <v>1.5516171298531136E-3</v>
      </c>
      <c r="I193" s="195" t="s">
        <v>270</v>
      </c>
      <c r="J193" s="334"/>
      <c r="K193" s="245"/>
      <c r="L193" s="245"/>
      <c r="M193" s="245"/>
      <c r="N193" s="24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  <c r="AA193" s="245"/>
      <c r="AB193" s="245"/>
      <c r="AC193" s="245"/>
      <c r="AD193" s="245"/>
    </row>
    <row r="194" spans="1:30" ht="15.5">
      <c r="A194" s="149"/>
      <c r="B194" s="338"/>
      <c r="C194" s="338"/>
      <c r="D194" s="338"/>
      <c r="E194" s="180" t="s">
        <v>271</v>
      </c>
      <c r="F194" s="342" t="s">
        <v>272</v>
      </c>
      <c r="G194" s="339">
        <v>92000</v>
      </c>
      <c r="H194" s="340">
        <f>G194/G185</f>
        <v>0.79304875525825802</v>
      </c>
      <c r="I194" s="195" t="s">
        <v>279</v>
      </c>
      <c r="J194" s="334"/>
      <c r="K194" s="245"/>
      <c r="L194" s="245"/>
      <c r="M194" s="245"/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  <c r="AA194" s="245"/>
      <c r="AB194" s="245"/>
      <c r="AC194" s="245"/>
      <c r="AD194" s="245"/>
    </row>
    <row r="195" spans="1:30" ht="15.5">
      <c r="A195" s="149"/>
      <c r="B195" s="338"/>
      <c r="C195" s="338"/>
      <c r="D195" s="338"/>
      <c r="E195" s="180" t="s">
        <v>165</v>
      </c>
      <c r="F195" s="342" t="s">
        <v>166</v>
      </c>
      <c r="G195" s="339">
        <v>150</v>
      </c>
      <c r="H195" s="340">
        <f>G195/G185</f>
        <v>1.2930142748775947E-3</v>
      </c>
      <c r="I195" s="195" t="s">
        <v>280</v>
      </c>
      <c r="J195" s="334"/>
      <c r="K195" s="245"/>
      <c r="L195" s="245"/>
      <c r="M195" s="245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  <c r="AA195" s="245"/>
      <c r="AB195" s="245"/>
      <c r="AC195" s="245"/>
      <c r="AD195" s="245"/>
    </row>
    <row r="196" spans="1:30" ht="15.5">
      <c r="A196" s="149"/>
      <c r="B196" s="338"/>
      <c r="C196" s="338"/>
      <c r="D196" s="338"/>
      <c r="E196" s="180"/>
      <c r="F196" s="342"/>
      <c r="G196" s="339"/>
      <c r="H196" s="340"/>
      <c r="I196" s="195"/>
      <c r="J196" s="334"/>
      <c r="K196" s="245"/>
      <c r="L196" s="245"/>
      <c r="M196" s="245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  <c r="AA196" s="245"/>
      <c r="AB196" s="245"/>
      <c r="AC196" s="245"/>
      <c r="AD196" s="245"/>
    </row>
    <row r="197" spans="1:30" ht="15.5">
      <c r="A197" s="149"/>
      <c r="B197" s="329"/>
      <c r="C197" s="329" t="s">
        <v>47</v>
      </c>
      <c r="D197" s="329" t="s">
        <v>54</v>
      </c>
      <c r="E197" s="352"/>
      <c r="F197" s="331" t="s">
        <v>77</v>
      </c>
      <c r="G197" s="331">
        <f>SUM(G198:G206)</f>
        <v>47200</v>
      </c>
      <c r="H197" s="324">
        <f>G197/$G$171</f>
        <v>0.18670442948347746</v>
      </c>
      <c r="I197" s="353"/>
      <c r="J197" s="354"/>
      <c r="K197" s="350"/>
      <c r="L197" s="350"/>
      <c r="M197" s="350"/>
      <c r="N197" s="350"/>
      <c r="O197" s="350"/>
      <c r="P197" s="350"/>
      <c r="Q197" s="350"/>
      <c r="R197" s="350"/>
      <c r="S197" s="350"/>
      <c r="T197" s="350"/>
      <c r="U197" s="350"/>
      <c r="V197" s="350"/>
      <c r="W197" s="350"/>
      <c r="X197" s="350"/>
      <c r="Y197" s="350"/>
      <c r="Z197" s="350"/>
      <c r="AA197" s="350"/>
      <c r="AB197" s="350"/>
      <c r="AC197" s="350"/>
      <c r="AD197" s="350"/>
    </row>
    <row r="198" spans="1:30" ht="15.5">
      <c r="A198" s="149"/>
      <c r="B198" s="338"/>
      <c r="C198" s="338"/>
      <c r="D198" s="338"/>
      <c r="E198" s="180" t="s">
        <v>126</v>
      </c>
      <c r="F198" s="342" t="s">
        <v>127</v>
      </c>
      <c r="G198" s="339">
        <v>32400</v>
      </c>
      <c r="H198" s="340">
        <f>G198/$G$197</f>
        <v>0.68644067796610164</v>
      </c>
      <c r="I198" s="195" t="s">
        <v>281</v>
      </c>
      <c r="J198" s="334"/>
      <c r="K198" s="245"/>
      <c r="L198" s="245"/>
      <c r="M198" s="245"/>
      <c r="N198" s="24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  <c r="AA198" s="245"/>
      <c r="AB198" s="245"/>
      <c r="AC198" s="245"/>
      <c r="AD198" s="245"/>
    </row>
    <row r="199" spans="1:30" ht="15.5">
      <c r="A199" s="149"/>
      <c r="B199" s="338"/>
      <c r="C199" s="338"/>
      <c r="D199" s="338"/>
      <c r="E199" s="180"/>
      <c r="F199" s="342"/>
      <c r="G199" s="339"/>
      <c r="H199" s="340"/>
      <c r="I199" s="195" t="s">
        <v>282</v>
      </c>
      <c r="J199" s="334"/>
      <c r="K199" s="245"/>
      <c r="L199" s="245"/>
      <c r="M199" s="245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  <c r="AA199" s="245"/>
      <c r="AB199" s="245"/>
      <c r="AC199" s="245"/>
      <c r="AD199" s="245"/>
    </row>
    <row r="200" spans="1:30" ht="15.5">
      <c r="A200" s="149"/>
      <c r="B200" s="338"/>
      <c r="C200" s="338"/>
      <c r="D200" s="338"/>
      <c r="E200" s="180"/>
      <c r="F200" s="342"/>
      <c r="G200" s="339"/>
      <c r="H200" s="340"/>
      <c r="I200" s="195" t="s">
        <v>283</v>
      </c>
      <c r="J200" s="334"/>
      <c r="K200" s="245"/>
      <c r="L200" s="245"/>
      <c r="M200" s="245"/>
      <c r="N200" s="245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  <c r="AA200" s="245"/>
      <c r="AB200" s="245"/>
      <c r="AC200" s="245"/>
      <c r="AD200" s="245"/>
    </row>
    <row r="201" spans="1:30" ht="15.5">
      <c r="A201" s="149"/>
      <c r="B201" s="338"/>
      <c r="C201" s="338"/>
      <c r="D201" s="338"/>
      <c r="E201" s="180"/>
      <c r="F201" s="342"/>
      <c r="G201" s="339"/>
      <c r="H201" s="340"/>
      <c r="I201" s="195" t="s">
        <v>284</v>
      </c>
      <c r="J201" s="334"/>
      <c r="K201" s="245"/>
      <c r="L201" s="245"/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  <c r="AA201" s="245"/>
      <c r="AB201" s="245"/>
      <c r="AC201" s="245"/>
      <c r="AD201" s="245"/>
    </row>
    <row r="202" spans="1:30" ht="15.5">
      <c r="A202" s="149"/>
      <c r="B202" s="338"/>
      <c r="C202" s="338"/>
      <c r="D202" s="338"/>
      <c r="E202" s="180"/>
      <c r="F202" s="342"/>
      <c r="G202" s="339"/>
      <c r="H202" s="340"/>
      <c r="I202" s="195" t="s">
        <v>285</v>
      </c>
      <c r="J202" s="334"/>
      <c r="K202" s="245"/>
      <c r="L202" s="245"/>
      <c r="M202" s="245"/>
      <c r="N202" s="245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  <c r="AA202" s="245"/>
      <c r="AB202" s="245"/>
      <c r="AC202" s="245"/>
      <c r="AD202" s="245"/>
    </row>
    <row r="203" spans="1:30" ht="15.5">
      <c r="A203" s="149"/>
      <c r="B203" s="338"/>
      <c r="C203" s="338"/>
      <c r="D203" s="338"/>
      <c r="E203" s="180" t="s">
        <v>204</v>
      </c>
      <c r="F203" s="342" t="s">
        <v>205</v>
      </c>
      <c r="G203" s="339">
        <v>6000</v>
      </c>
      <c r="H203" s="340">
        <f t="shared" ref="H203:H206" si="18">G203/$G$197</f>
        <v>0.1271186440677966</v>
      </c>
      <c r="I203" s="195" t="s">
        <v>286</v>
      </c>
      <c r="J203" s="334"/>
      <c r="K203" s="245"/>
      <c r="L203" s="245"/>
      <c r="M203" s="245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  <c r="AA203" s="245"/>
      <c r="AB203" s="245"/>
      <c r="AC203" s="245"/>
      <c r="AD203" s="245"/>
    </row>
    <row r="204" spans="1:30" ht="15.5">
      <c r="A204" s="149"/>
      <c r="B204" s="338"/>
      <c r="C204" s="338"/>
      <c r="D204" s="338"/>
      <c r="E204" s="180" t="s">
        <v>130</v>
      </c>
      <c r="F204" s="342" t="s">
        <v>131</v>
      </c>
      <c r="G204" s="339">
        <v>3000</v>
      </c>
      <c r="H204" s="340">
        <f t="shared" si="18"/>
        <v>6.3559322033898302E-2</v>
      </c>
      <c r="I204" s="195" t="s">
        <v>157</v>
      </c>
      <c r="J204" s="334"/>
      <c r="K204" s="245"/>
      <c r="L204" s="245"/>
      <c r="M204" s="245"/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  <c r="AA204" s="245"/>
      <c r="AB204" s="245"/>
      <c r="AC204" s="245"/>
      <c r="AD204" s="245"/>
    </row>
    <row r="205" spans="1:30" ht="15.5">
      <c r="A205" s="149"/>
      <c r="B205" s="338"/>
      <c r="C205" s="338"/>
      <c r="D205" s="338"/>
      <c r="E205" s="180" t="s">
        <v>158</v>
      </c>
      <c r="F205" s="342" t="s">
        <v>159</v>
      </c>
      <c r="G205" s="339">
        <v>3000</v>
      </c>
      <c r="H205" s="340">
        <f t="shared" si="18"/>
        <v>6.3559322033898302E-2</v>
      </c>
      <c r="I205" s="195" t="s">
        <v>287</v>
      </c>
      <c r="J205" s="334"/>
      <c r="K205" s="245"/>
      <c r="L205" s="245"/>
      <c r="M205" s="245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  <c r="AA205" s="245"/>
      <c r="AB205" s="245"/>
      <c r="AC205" s="245"/>
      <c r="AD205" s="245"/>
    </row>
    <row r="206" spans="1:30" ht="15.5">
      <c r="A206" s="149"/>
      <c r="B206" s="338"/>
      <c r="C206" s="338"/>
      <c r="D206" s="338"/>
      <c r="E206" s="180" t="s">
        <v>162</v>
      </c>
      <c r="F206" s="342" t="s">
        <v>163</v>
      </c>
      <c r="G206" s="339">
        <v>2800</v>
      </c>
      <c r="H206" s="340">
        <f t="shared" si="18"/>
        <v>5.9322033898305086E-2</v>
      </c>
      <c r="I206" s="195" t="s">
        <v>288</v>
      </c>
      <c r="J206" s="334"/>
      <c r="K206" s="245"/>
      <c r="L206" s="245"/>
      <c r="M206" s="245"/>
      <c r="N206" s="245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  <c r="AA206" s="245"/>
      <c r="AB206" s="245"/>
      <c r="AC206" s="245"/>
      <c r="AD206" s="245"/>
    </row>
    <row r="207" spans="1:30" ht="15.5">
      <c r="A207" s="149"/>
      <c r="B207" s="355"/>
      <c r="C207" s="352" t="s">
        <v>51</v>
      </c>
      <c r="D207" s="329" t="s">
        <v>51</v>
      </c>
      <c r="E207" s="356"/>
      <c r="F207" s="333" t="s">
        <v>52</v>
      </c>
      <c r="G207" s="357">
        <f>ROUND((G172+G175+G185+G197)/95*5,0)</f>
        <v>12640</v>
      </c>
      <c r="H207" s="358">
        <f>G207/G171</f>
        <v>4.9998813319304128E-2</v>
      </c>
      <c r="I207" s="350" t="s">
        <v>152</v>
      </c>
      <c r="J207" s="354"/>
      <c r="K207" s="350"/>
      <c r="L207" s="350"/>
      <c r="M207" s="350"/>
      <c r="N207" s="350"/>
      <c r="O207" s="350"/>
      <c r="P207" s="350"/>
      <c r="Q207" s="350"/>
      <c r="R207" s="350"/>
      <c r="S207" s="350"/>
      <c r="T207" s="350"/>
      <c r="U207" s="350"/>
      <c r="V207" s="350"/>
      <c r="W207" s="350"/>
      <c r="X207" s="350"/>
      <c r="Y207" s="350"/>
      <c r="Z207" s="350"/>
      <c r="AA207" s="350"/>
      <c r="AB207" s="350"/>
      <c r="AC207" s="350"/>
      <c r="AD207" s="350"/>
    </row>
    <row r="208" spans="1:30" ht="15.5">
      <c r="A208" s="149"/>
      <c r="B208" s="150"/>
      <c r="C208" s="150"/>
      <c r="D208" s="150"/>
      <c r="E208" s="146"/>
      <c r="F208" s="194"/>
      <c r="G208" s="263"/>
      <c r="H208" s="206"/>
      <c r="I208" s="351"/>
      <c r="J208" s="195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  <c r="AA208" s="168"/>
      <c r="AB208" s="168"/>
      <c r="AC208" s="168"/>
      <c r="AD208" s="168"/>
    </row>
    <row r="209" spans="1:30" ht="15.5">
      <c r="A209" s="149"/>
      <c r="B209" s="150"/>
      <c r="C209" s="150"/>
      <c r="D209" s="150"/>
      <c r="E209" s="146"/>
      <c r="F209" s="194"/>
      <c r="G209" s="263"/>
      <c r="H209" s="206"/>
      <c r="I209" s="351"/>
      <c r="J209" s="195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  <c r="AA209" s="168"/>
      <c r="AB209" s="168"/>
      <c r="AC209" s="168"/>
      <c r="AD209" s="168"/>
    </row>
    <row r="210" spans="1:30" ht="15.5">
      <c r="A210" s="149"/>
      <c r="B210" s="150"/>
      <c r="C210" s="150"/>
      <c r="D210" s="150"/>
      <c r="E210" s="146"/>
      <c r="F210" s="194"/>
      <c r="G210" s="263"/>
      <c r="H210" s="206"/>
      <c r="I210" s="351"/>
      <c r="J210" s="195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  <c r="AA210" s="168"/>
      <c r="AB210" s="168"/>
      <c r="AC210" s="168"/>
      <c r="AD210" s="168"/>
    </row>
    <row r="211" spans="1:30" ht="15.5">
      <c r="A211" s="359"/>
      <c r="B211" s="208" t="s">
        <v>78</v>
      </c>
      <c r="C211" s="208" t="s">
        <v>47</v>
      </c>
      <c r="D211" s="208" t="s">
        <v>47</v>
      </c>
      <c r="E211" s="360"/>
      <c r="F211" s="210" t="s">
        <v>23</v>
      </c>
      <c r="G211" s="279">
        <f>SUM(G212,G216,G221)</f>
        <v>36316</v>
      </c>
      <c r="H211" s="361">
        <f>G211/$G$8</f>
        <v>2.3203861692065557E-2</v>
      </c>
      <c r="I211" s="362"/>
      <c r="J211" s="363"/>
      <c r="K211" s="364"/>
      <c r="L211" s="364"/>
      <c r="M211" s="364"/>
      <c r="N211" s="364"/>
      <c r="O211" s="364"/>
      <c r="P211" s="364"/>
      <c r="Q211" s="364"/>
      <c r="R211" s="364"/>
      <c r="S211" s="364"/>
      <c r="T211" s="364"/>
      <c r="U211" s="364"/>
      <c r="V211" s="364"/>
      <c r="W211" s="364"/>
      <c r="X211" s="364"/>
      <c r="Y211" s="364"/>
      <c r="Z211" s="364"/>
      <c r="AA211" s="364"/>
      <c r="AB211" s="364"/>
      <c r="AC211" s="364"/>
      <c r="AD211" s="364"/>
    </row>
    <row r="212" spans="1:30" ht="15.5">
      <c r="A212" s="344"/>
      <c r="B212" s="329"/>
      <c r="C212" s="329" t="s">
        <v>47</v>
      </c>
      <c r="D212" s="329" t="s">
        <v>46</v>
      </c>
      <c r="E212" s="365"/>
      <c r="F212" s="333" t="s">
        <v>48</v>
      </c>
      <c r="G212" s="366">
        <f>SUM(G213:G215)</f>
        <v>21000</v>
      </c>
      <c r="H212" s="367">
        <f t="shared" ref="H212:H213" si="19">G212/G211</f>
        <v>0.57825751734772557</v>
      </c>
      <c r="I212" s="333"/>
      <c r="J212" s="354"/>
      <c r="K212" s="350"/>
      <c r="L212" s="350"/>
      <c r="M212" s="350"/>
      <c r="N212" s="350"/>
      <c r="O212" s="350"/>
      <c r="P212" s="350"/>
      <c r="Q212" s="350"/>
      <c r="R212" s="350"/>
      <c r="S212" s="350"/>
      <c r="T212" s="350"/>
      <c r="U212" s="350"/>
      <c r="V212" s="350"/>
      <c r="W212" s="350"/>
      <c r="X212" s="350"/>
      <c r="Y212" s="350"/>
      <c r="Z212" s="350"/>
      <c r="AA212" s="350"/>
      <c r="AB212" s="350"/>
      <c r="AC212" s="350"/>
      <c r="AD212" s="350"/>
    </row>
    <row r="213" spans="1:30" ht="15.5">
      <c r="A213" s="149"/>
      <c r="B213" s="338"/>
      <c r="C213" s="338"/>
      <c r="D213" s="338"/>
      <c r="E213" s="180" t="s">
        <v>126</v>
      </c>
      <c r="F213" s="342" t="s">
        <v>127</v>
      </c>
      <c r="G213" s="339">
        <v>9000</v>
      </c>
      <c r="H213" s="340">
        <f t="shared" si="19"/>
        <v>0.42857142857142855</v>
      </c>
      <c r="I213" s="195" t="s">
        <v>289</v>
      </c>
      <c r="J213" s="334"/>
      <c r="K213" s="245"/>
      <c r="L213" s="245"/>
      <c r="M213" s="245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  <c r="AA213" s="245"/>
      <c r="AB213" s="245"/>
      <c r="AC213" s="245"/>
      <c r="AD213" s="245"/>
    </row>
    <row r="214" spans="1:30" ht="15.5">
      <c r="A214" s="149"/>
      <c r="B214" s="338"/>
      <c r="C214" s="338"/>
      <c r="D214" s="338"/>
      <c r="E214" s="180" t="s">
        <v>191</v>
      </c>
      <c r="F214" s="342" t="s">
        <v>192</v>
      </c>
      <c r="G214" s="339">
        <v>9000</v>
      </c>
      <c r="H214" s="340">
        <f>G214/G212</f>
        <v>0.42857142857142855</v>
      </c>
      <c r="I214" s="195" t="s">
        <v>290</v>
      </c>
      <c r="J214" s="334"/>
      <c r="K214" s="245"/>
      <c r="L214" s="245"/>
      <c r="M214" s="245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  <c r="AA214" s="245"/>
      <c r="AB214" s="245"/>
      <c r="AC214" s="245"/>
      <c r="AD214" s="245"/>
    </row>
    <row r="215" spans="1:30" ht="15.5">
      <c r="A215" s="149"/>
      <c r="B215" s="338"/>
      <c r="C215" s="338"/>
      <c r="D215" s="338"/>
      <c r="E215" s="180" t="s">
        <v>130</v>
      </c>
      <c r="F215" s="342" t="s">
        <v>131</v>
      </c>
      <c r="G215" s="339">
        <v>3000</v>
      </c>
      <c r="H215" s="340">
        <f>G215/G212</f>
        <v>0.14285714285714285</v>
      </c>
      <c r="I215" s="195" t="s">
        <v>157</v>
      </c>
      <c r="J215" s="334"/>
      <c r="K215" s="245"/>
      <c r="L215" s="245"/>
      <c r="M215" s="245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  <c r="AA215" s="245"/>
      <c r="AB215" s="245"/>
      <c r="AC215" s="245"/>
      <c r="AD215" s="245"/>
    </row>
    <row r="216" spans="1:30" ht="15.5">
      <c r="A216" s="344"/>
      <c r="B216" s="329"/>
      <c r="C216" s="329" t="s">
        <v>47</v>
      </c>
      <c r="D216" s="329" t="s">
        <v>49</v>
      </c>
      <c r="E216" s="365"/>
      <c r="F216" s="333" t="s">
        <v>117</v>
      </c>
      <c r="G216" s="366">
        <f>SUM(G217)</f>
        <v>13500</v>
      </c>
      <c r="H216" s="367">
        <f>G216/G211</f>
        <v>0.37173697543782352</v>
      </c>
      <c r="I216" s="333"/>
      <c r="J216" s="354"/>
      <c r="K216" s="350"/>
      <c r="L216" s="350"/>
      <c r="M216" s="350"/>
      <c r="N216" s="350"/>
      <c r="O216" s="350"/>
      <c r="P216" s="350"/>
      <c r="Q216" s="350"/>
      <c r="R216" s="350"/>
      <c r="S216" s="350"/>
      <c r="T216" s="350"/>
      <c r="U216" s="350"/>
      <c r="V216" s="350"/>
      <c r="W216" s="350"/>
      <c r="X216" s="350"/>
      <c r="Y216" s="350"/>
      <c r="Z216" s="350"/>
      <c r="AA216" s="350"/>
      <c r="AB216" s="350"/>
      <c r="AC216" s="350"/>
      <c r="AD216" s="350"/>
    </row>
    <row r="217" spans="1:30" ht="15.5">
      <c r="A217" s="149"/>
      <c r="B217" s="338"/>
      <c r="C217" s="338"/>
      <c r="D217" s="338"/>
      <c r="E217" s="180" t="s">
        <v>146</v>
      </c>
      <c r="F217" s="342" t="s">
        <v>147</v>
      </c>
      <c r="G217" s="339">
        <v>13500</v>
      </c>
      <c r="H217" s="340">
        <f>G217/G216</f>
        <v>1</v>
      </c>
      <c r="I217" s="195" t="s">
        <v>291</v>
      </c>
      <c r="J217" s="334"/>
      <c r="K217" s="245"/>
      <c r="L217" s="245"/>
      <c r="M217" s="245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  <c r="AA217" s="245"/>
      <c r="AB217" s="245"/>
      <c r="AC217" s="245"/>
      <c r="AD217" s="245"/>
    </row>
    <row r="218" spans="1:30" ht="15.5">
      <c r="A218" s="149"/>
      <c r="B218" s="338"/>
      <c r="C218" s="338"/>
      <c r="D218" s="338"/>
      <c r="E218" s="180"/>
      <c r="F218" s="342"/>
      <c r="G218" s="339"/>
      <c r="H218" s="340"/>
      <c r="I218" s="195"/>
      <c r="J218" s="334"/>
      <c r="K218" s="245"/>
      <c r="L218" s="245"/>
      <c r="M218" s="245"/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  <c r="AA218" s="245"/>
      <c r="AB218" s="245"/>
      <c r="AC218" s="245"/>
      <c r="AD218" s="245"/>
    </row>
    <row r="219" spans="1:30" ht="15.5">
      <c r="A219" s="149"/>
      <c r="B219" s="338"/>
      <c r="C219" s="338"/>
      <c r="D219" s="338"/>
      <c r="E219" s="180"/>
      <c r="F219" s="342"/>
      <c r="G219" s="339"/>
      <c r="H219" s="340"/>
      <c r="I219" s="195"/>
      <c r="J219" s="334"/>
      <c r="K219" s="245"/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  <c r="AA219" s="245"/>
      <c r="AB219" s="245"/>
      <c r="AC219" s="245"/>
      <c r="AD219" s="245"/>
    </row>
    <row r="220" spans="1:30" ht="15.5">
      <c r="A220" s="149"/>
      <c r="B220" s="338"/>
      <c r="C220" s="338"/>
      <c r="D220" s="338"/>
      <c r="E220" s="180"/>
      <c r="F220" s="342"/>
      <c r="G220" s="339"/>
      <c r="H220" s="340"/>
      <c r="I220" s="195"/>
      <c r="J220" s="334"/>
      <c r="K220" s="245"/>
      <c r="L220" s="245"/>
      <c r="M220" s="245"/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  <c r="AA220" s="245"/>
      <c r="AB220" s="245"/>
      <c r="AC220" s="245"/>
      <c r="AD220" s="245"/>
    </row>
    <row r="221" spans="1:30" ht="15.5">
      <c r="A221" s="344"/>
      <c r="B221" s="329"/>
      <c r="C221" s="329" t="s">
        <v>51</v>
      </c>
      <c r="D221" s="329" t="s">
        <v>51</v>
      </c>
      <c r="E221" s="365"/>
      <c r="F221" s="333" t="s">
        <v>52</v>
      </c>
      <c r="G221" s="366">
        <f>ROUND((G212+G216)/95*5,0)</f>
        <v>1816</v>
      </c>
      <c r="H221" s="358">
        <f>G221/G211</f>
        <v>5.0005507214450934E-2</v>
      </c>
      <c r="I221" s="350" t="s">
        <v>152</v>
      </c>
      <c r="J221" s="354"/>
      <c r="K221" s="350"/>
      <c r="L221" s="350"/>
      <c r="M221" s="350"/>
      <c r="N221" s="350"/>
      <c r="O221" s="350"/>
      <c r="P221" s="350"/>
      <c r="Q221" s="350"/>
      <c r="R221" s="350"/>
      <c r="S221" s="350"/>
      <c r="T221" s="350"/>
      <c r="U221" s="350"/>
      <c r="V221" s="350"/>
      <c r="W221" s="350"/>
      <c r="X221" s="350"/>
      <c r="Y221" s="350"/>
      <c r="Z221" s="350"/>
      <c r="AA221" s="350"/>
      <c r="AB221" s="350"/>
      <c r="AC221" s="350"/>
      <c r="AD221" s="350"/>
    </row>
    <row r="222" spans="1:30" ht="15.5">
      <c r="A222" s="149"/>
      <c r="B222" s="338"/>
      <c r="C222" s="338"/>
      <c r="D222" s="338"/>
      <c r="E222" s="180"/>
      <c r="F222" s="342"/>
      <c r="G222" s="339"/>
      <c r="H222" s="340"/>
      <c r="I222" s="195"/>
      <c r="J222" s="334"/>
      <c r="K222" s="245"/>
      <c r="L222" s="245"/>
      <c r="M222" s="245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  <c r="AA222" s="245"/>
      <c r="AB222" s="245"/>
      <c r="AC222" s="245"/>
      <c r="AD222" s="245"/>
    </row>
    <row r="223" spans="1:30" ht="15.5">
      <c r="A223" s="149"/>
      <c r="B223" s="338"/>
      <c r="C223" s="338"/>
      <c r="D223" s="338"/>
      <c r="E223" s="180"/>
      <c r="F223" s="342"/>
      <c r="G223" s="339"/>
      <c r="H223" s="340"/>
      <c r="I223" s="195"/>
      <c r="J223" s="334"/>
      <c r="K223" s="245"/>
      <c r="L223" s="245"/>
      <c r="M223" s="245"/>
      <c r="N223" s="24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  <c r="AA223" s="245"/>
      <c r="AB223" s="245"/>
      <c r="AC223" s="245"/>
      <c r="AD223" s="245"/>
    </row>
    <row r="224" spans="1:30" ht="15.5">
      <c r="A224" s="149"/>
      <c r="B224" s="338"/>
      <c r="C224" s="338"/>
      <c r="D224" s="338"/>
      <c r="E224" s="180"/>
      <c r="F224" s="342"/>
      <c r="G224" s="339"/>
      <c r="H224" s="340"/>
      <c r="I224" s="195"/>
      <c r="J224" s="334"/>
      <c r="K224" s="245"/>
      <c r="L224" s="245"/>
      <c r="M224" s="245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  <c r="AA224" s="245"/>
      <c r="AB224" s="245"/>
      <c r="AC224" s="245"/>
      <c r="AD224" s="245"/>
    </row>
    <row r="225" spans="1:30" ht="15.5">
      <c r="A225" s="359"/>
      <c r="B225" s="208" t="s">
        <v>79</v>
      </c>
      <c r="C225" s="208" t="s">
        <v>47</v>
      </c>
      <c r="D225" s="208" t="s">
        <v>47</v>
      </c>
      <c r="E225" s="360"/>
      <c r="F225" s="210" t="s">
        <v>24</v>
      </c>
      <c r="G225" s="279">
        <f>G226+G241+G262+G265</f>
        <v>409202</v>
      </c>
      <c r="H225" s="361">
        <f>G225/G8</f>
        <v>0.26145684029399191</v>
      </c>
      <c r="I225" s="362"/>
      <c r="J225" s="363"/>
      <c r="K225" s="364"/>
      <c r="L225" s="364"/>
      <c r="M225" s="364"/>
      <c r="N225" s="364"/>
      <c r="O225" s="364"/>
      <c r="P225" s="364"/>
      <c r="Q225" s="364"/>
      <c r="R225" s="364"/>
      <c r="S225" s="364"/>
      <c r="T225" s="364"/>
      <c r="U225" s="364"/>
      <c r="V225" s="364"/>
      <c r="W225" s="364"/>
      <c r="X225" s="364"/>
      <c r="Y225" s="364"/>
      <c r="Z225" s="364"/>
      <c r="AA225" s="364"/>
      <c r="AB225" s="364"/>
      <c r="AC225" s="364"/>
      <c r="AD225" s="364"/>
    </row>
    <row r="226" spans="1:30" ht="15.5">
      <c r="A226" s="344"/>
      <c r="B226" s="329"/>
      <c r="C226" s="329" t="s">
        <v>47</v>
      </c>
      <c r="D226" s="329" t="s">
        <v>46</v>
      </c>
      <c r="E226" s="365"/>
      <c r="F226" s="333" t="s">
        <v>48</v>
      </c>
      <c r="G226" s="366">
        <f>SUM(G227:G240)</f>
        <v>44900</v>
      </c>
      <c r="H226" s="367">
        <f>G226/$G$225</f>
        <v>0.10972575891613433</v>
      </c>
      <c r="I226" s="333"/>
      <c r="J226" s="354"/>
      <c r="K226" s="350"/>
      <c r="L226" s="350"/>
      <c r="M226" s="350"/>
      <c r="N226" s="350"/>
      <c r="O226" s="350"/>
      <c r="P226" s="350"/>
      <c r="Q226" s="350"/>
      <c r="R226" s="350"/>
      <c r="S226" s="350"/>
      <c r="T226" s="350"/>
      <c r="U226" s="350"/>
      <c r="V226" s="350"/>
      <c r="W226" s="350"/>
      <c r="X226" s="350"/>
      <c r="Y226" s="350"/>
      <c r="Z226" s="350"/>
      <c r="AA226" s="350"/>
      <c r="AB226" s="350"/>
      <c r="AC226" s="350"/>
      <c r="AD226" s="350"/>
    </row>
    <row r="227" spans="1:30" ht="15.5">
      <c r="A227" s="149"/>
      <c r="B227" s="338"/>
      <c r="C227" s="338"/>
      <c r="D227" s="338"/>
      <c r="E227" s="180" t="s">
        <v>126</v>
      </c>
      <c r="F227" s="342" t="s">
        <v>127</v>
      </c>
      <c r="G227" s="339">
        <v>12000</v>
      </c>
      <c r="H227" s="340">
        <f>G227/$G$226</f>
        <v>0.267260579064588</v>
      </c>
      <c r="I227" s="195" t="s">
        <v>292</v>
      </c>
      <c r="J227" s="334"/>
      <c r="K227" s="245"/>
      <c r="L227" s="245"/>
      <c r="M227" s="245"/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  <c r="AA227" s="245"/>
      <c r="AB227" s="245"/>
      <c r="AC227" s="245"/>
      <c r="AD227" s="245"/>
    </row>
    <row r="228" spans="1:30" ht="15.5">
      <c r="A228" s="149"/>
      <c r="B228" s="338"/>
      <c r="C228" s="338"/>
      <c r="D228" s="338"/>
      <c r="E228" s="180"/>
      <c r="F228" s="342"/>
      <c r="G228" s="339"/>
      <c r="H228" s="340"/>
      <c r="I228" s="195" t="s">
        <v>293</v>
      </c>
      <c r="J228" s="334"/>
      <c r="K228" s="245"/>
      <c r="L228" s="245"/>
      <c r="M228" s="245"/>
      <c r="N228" s="24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  <c r="AA228" s="245"/>
      <c r="AB228" s="245"/>
      <c r="AC228" s="245"/>
      <c r="AD228" s="245"/>
    </row>
    <row r="229" spans="1:30" ht="15.5">
      <c r="A229" s="149"/>
      <c r="B229" s="338"/>
      <c r="C229" s="338"/>
      <c r="D229" s="338"/>
      <c r="E229" s="180"/>
      <c r="F229" s="342"/>
      <c r="G229" s="339"/>
      <c r="H229" s="340"/>
      <c r="I229" s="195" t="s">
        <v>294</v>
      </c>
      <c r="J229" s="334"/>
      <c r="K229" s="245"/>
      <c r="L229" s="245"/>
      <c r="M229" s="245"/>
      <c r="N229" s="245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  <c r="AA229" s="245"/>
      <c r="AB229" s="245"/>
      <c r="AC229" s="245"/>
      <c r="AD229" s="245"/>
    </row>
    <row r="230" spans="1:30" ht="15.5">
      <c r="A230" s="149"/>
      <c r="B230" s="338"/>
      <c r="C230" s="338"/>
      <c r="D230" s="338"/>
      <c r="E230" s="180"/>
      <c r="F230" s="342"/>
      <c r="G230" s="339"/>
      <c r="H230" s="340"/>
      <c r="I230" s="195" t="s">
        <v>295</v>
      </c>
      <c r="J230" s="334"/>
      <c r="K230" s="245"/>
      <c r="L230" s="245"/>
      <c r="M230" s="245"/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  <c r="AA230" s="245"/>
      <c r="AB230" s="245"/>
      <c r="AC230" s="245"/>
      <c r="AD230" s="245"/>
    </row>
    <row r="231" spans="1:30" ht="15.5">
      <c r="A231" s="149"/>
      <c r="B231" s="338"/>
      <c r="C231" s="338"/>
      <c r="D231" s="338"/>
      <c r="E231" s="180"/>
      <c r="F231" s="342"/>
      <c r="G231" s="339"/>
      <c r="H231" s="340"/>
      <c r="I231" s="195" t="s">
        <v>296</v>
      </c>
      <c r="J231" s="334"/>
      <c r="K231" s="245"/>
      <c r="L231" s="245"/>
      <c r="M231" s="245"/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  <c r="AA231" s="245"/>
      <c r="AB231" s="245"/>
      <c r="AC231" s="245"/>
      <c r="AD231" s="245"/>
    </row>
    <row r="232" spans="1:30" ht="15.5">
      <c r="A232" s="149"/>
      <c r="B232" s="338"/>
      <c r="C232" s="338"/>
      <c r="D232" s="338"/>
      <c r="E232" s="180"/>
      <c r="F232" s="342"/>
      <c r="G232" s="339"/>
      <c r="H232" s="340"/>
      <c r="I232" s="195" t="s">
        <v>297</v>
      </c>
      <c r="J232" s="334"/>
      <c r="K232" s="245"/>
      <c r="L232" s="245"/>
      <c r="M232" s="245"/>
      <c r="N232" s="24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  <c r="AA232" s="245"/>
      <c r="AB232" s="245"/>
      <c r="AC232" s="245"/>
      <c r="AD232" s="245"/>
    </row>
    <row r="233" spans="1:30" ht="15.5">
      <c r="A233" s="149"/>
      <c r="B233" s="338"/>
      <c r="C233" s="338"/>
      <c r="D233" s="338"/>
      <c r="E233" s="180" t="s">
        <v>204</v>
      </c>
      <c r="F233" s="342" t="s">
        <v>205</v>
      </c>
      <c r="G233" s="339">
        <v>500</v>
      </c>
      <c r="H233" s="340">
        <f t="shared" ref="H233:H235" si="20">G233/$G$226</f>
        <v>1.1135857461024499E-2</v>
      </c>
      <c r="I233" s="195" t="s">
        <v>298</v>
      </c>
      <c r="J233" s="334"/>
      <c r="K233" s="245"/>
      <c r="L233" s="245"/>
      <c r="M233" s="245"/>
      <c r="N233" s="245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  <c r="AA233" s="245"/>
      <c r="AB233" s="245"/>
      <c r="AC233" s="245"/>
      <c r="AD233" s="245"/>
    </row>
    <row r="234" spans="1:30" ht="15.5">
      <c r="A234" s="149"/>
      <c r="B234" s="338"/>
      <c r="C234" s="338"/>
      <c r="D234" s="338"/>
      <c r="E234" s="180" t="s">
        <v>130</v>
      </c>
      <c r="F234" s="342" t="s">
        <v>131</v>
      </c>
      <c r="G234" s="339">
        <v>3000</v>
      </c>
      <c r="H234" s="340">
        <f t="shared" si="20"/>
        <v>6.6815144766147E-2</v>
      </c>
      <c r="I234" s="195" t="s">
        <v>157</v>
      </c>
      <c r="J234" s="334"/>
      <c r="K234" s="245"/>
      <c r="L234" s="245"/>
      <c r="M234" s="245"/>
      <c r="N234" s="245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  <c r="AA234" s="245"/>
      <c r="AB234" s="245"/>
      <c r="AC234" s="245"/>
      <c r="AD234" s="245"/>
    </row>
    <row r="235" spans="1:30" ht="15.5">
      <c r="A235" s="149"/>
      <c r="B235" s="338"/>
      <c r="C235" s="338"/>
      <c r="D235" s="338"/>
      <c r="E235" s="180" t="s">
        <v>218</v>
      </c>
      <c r="F235" s="342" t="s">
        <v>219</v>
      </c>
      <c r="G235" s="339">
        <v>8900</v>
      </c>
      <c r="H235" s="340">
        <f t="shared" si="20"/>
        <v>0.19821826280623608</v>
      </c>
      <c r="I235" s="195" t="s">
        <v>299</v>
      </c>
      <c r="J235" s="334"/>
      <c r="K235" s="245"/>
      <c r="L235" s="245"/>
      <c r="M235" s="245"/>
      <c r="N235" s="245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  <c r="AA235" s="245"/>
      <c r="AB235" s="245"/>
      <c r="AC235" s="245"/>
      <c r="AD235" s="245"/>
    </row>
    <row r="236" spans="1:30" ht="15.5">
      <c r="A236" s="149"/>
      <c r="B236" s="338"/>
      <c r="C236" s="338"/>
      <c r="D236" s="338"/>
      <c r="E236" s="180"/>
      <c r="F236" s="342"/>
      <c r="G236" s="339"/>
      <c r="H236" s="340"/>
      <c r="I236" s="195" t="s">
        <v>300</v>
      </c>
      <c r="J236" s="334"/>
      <c r="K236" s="245"/>
      <c r="L236" s="245"/>
      <c r="M236" s="245"/>
      <c r="N236" s="24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  <c r="AA236" s="245"/>
      <c r="AB236" s="245"/>
      <c r="AC236" s="245"/>
      <c r="AD236" s="245"/>
    </row>
    <row r="237" spans="1:30" ht="15.5">
      <c r="A237" s="149"/>
      <c r="B237" s="338"/>
      <c r="C237" s="338"/>
      <c r="D237" s="338"/>
      <c r="E237" s="180"/>
      <c r="F237" s="342"/>
      <c r="G237" s="339"/>
      <c r="H237" s="340"/>
      <c r="I237" s="195" t="s">
        <v>301</v>
      </c>
      <c r="J237" s="334"/>
      <c r="K237" s="245"/>
      <c r="L237" s="245"/>
      <c r="M237" s="245"/>
      <c r="N237" s="245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  <c r="AA237" s="245"/>
      <c r="AB237" s="245"/>
      <c r="AC237" s="245"/>
      <c r="AD237" s="245"/>
    </row>
    <row r="238" spans="1:30" ht="15.5">
      <c r="A238" s="149"/>
      <c r="B238" s="338"/>
      <c r="C238" s="338"/>
      <c r="D238" s="338"/>
      <c r="E238" s="180" t="s">
        <v>158</v>
      </c>
      <c r="F238" s="342" t="s">
        <v>134</v>
      </c>
      <c r="G238" s="339">
        <v>20000</v>
      </c>
      <c r="H238" s="340">
        <f>G238/$G$226</f>
        <v>0.44543429844097998</v>
      </c>
      <c r="I238" s="195" t="s">
        <v>302</v>
      </c>
      <c r="J238" s="334"/>
      <c r="K238" s="245"/>
      <c r="L238" s="245"/>
      <c r="M238" s="245"/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  <c r="AA238" s="245"/>
      <c r="AB238" s="245"/>
      <c r="AC238" s="245"/>
      <c r="AD238" s="245"/>
    </row>
    <row r="239" spans="1:30" ht="15.5">
      <c r="A239" s="149"/>
      <c r="B239" s="338"/>
      <c r="C239" s="338"/>
      <c r="D239" s="338"/>
      <c r="E239" s="180"/>
      <c r="F239" s="342"/>
      <c r="G239" s="339"/>
      <c r="H239" s="340"/>
      <c r="I239" s="195" t="s">
        <v>303</v>
      </c>
      <c r="J239" s="334"/>
      <c r="K239" s="245"/>
      <c r="L239" s="245"/>
      <c r="M239" s="245"/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  <c r="AA239" s="245"/>
      <c r="AB239" s="245"/>
      <c r="AC239" s="245"/>
      <c r="AD239" s="245"/>
    </row>
    <row r="240" spans="1:30" ht="15.5">
      <c r="A240" s="149"/>
      <c r="B240" s="338"/>
      <c r="C240" s="338"/>
      <c r="D240" s="338"/>
      <c r="E240" s="180" t="s">
        <v>138</v>
      </c>
      <c r="F240" s="342" t="s">
        <v>139</v>
      </c>
      <c r="G240" s="339">
        <v>500</v>
      </c>
      <c r="H240" s="340">
        <f>G240/$G$226</f>
        <v>1.1135857461024499E-2</v>
      </c>
      <c r="I240" s="195" t="s">
        <v>304</v>
      </c>
      <c r="J240" s="334"/>
      <c r="K240" s="245"/>
      <c r="L240" s="245"/>
      <c r="M240" s="245"/>
      <c r="N240" s="245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  <c r="AA240" s="245"/>
      <c r="AB240" s="245"/>
      <c r="AC240" s="245"/>
      <c r="AD240" s="245"/>
    </row>
    <row r="241" spans="1:30" ht="15.5">
      <c r="A241" s="309"/>
      <c r="B241" s="323"/>
      <c r="C241" s="323" t="s">
        <v>47</v>
      </c>
      <c r="D241" s="323" t="s">
        <v>49</v>
      </c>
      <c r="E241" s="323"/>
      <c r="F241" s="221" t="s">
        <v>119</v>
      </c>
      <c r="G241" s="368">
        <f>SUM(G242:G261)</f>
        <v>315842</v>
      </c>
      <c r="H241" s="367">
        <f>G241/$G$225</f>
        <v>0.77184862244075059</v>
      </c>
      <c r="I241" s="369"/>
      <c r="J241" s="245"/>
      <c r="K241" s="245"/>
      <c r="L241" s="245"/>
      <c r="M241" s="245"/>
      <c r="N241" s="24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  <c r="AA241" s="245"/>
      <c r="AB241" s="245"/>
      <c r="AC241" s="245"/>
      <c r="AD241" s="245"/>
    </row>
    <row r="242" spans="1:30" ht="15.5">
      <c r="A242" s="149"/>
      <c r="B242" s="338"/>
      <c r="C242" s="338"/>
      <c r="D242" s="338"/>
      <c r="E242" s="180" t="s">
        <v>305</v>
      </c>
      <c r="F242" s="342" t="s">
        <v>306</v>
      </c>
      <c r="G242" s="339">
        <v>224342</v>
      </c>
      <c r="H242" s="340">
        <f>G242/$G$241</f>
        <v>0.71029818706821768</v>
      </c>
      <c r="I242" s="195" t="s">
        <v>307</v>
      </c>
      <c r="J242" s="334"/>
      <c r="K242" s="245"/>
      <c r="L242" s="245"/>
      <c r="M242" s="245"/>
      <c r="N242" s="245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  <c r="AA242" s="245"/>
      <c r="AB242" s="245"/>
      <c r="AC242" s="245"/>
      <c r="AD242" s="245"/>
    </row>
    <row r="243" spans="1:30" ht="15.5">
      <c r="A243" s="149"/>
      <c r="B243" s="338"/>
      <c r="C243" s="338"/>
      <c r="D243" s="338"/>
      <c r="E243" s="180"/>
      <c r="F243" s="342"/>
      <c r="G243" s="339"/>
      <c r="H243" s="340"/>
      <c r="I243" s="195" t="s">
        <v>308</v>
      </c>
      <c r="J243" s="334"/>
      <c r="K243" s="245"/>
      <c r="L243" s="245"/>
      <c r="M243" s="245"/>
      <c r="N243" s="24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  <c r="AA243" s="245"/>
      <c r="AB243" s="245"/>
      <c r="AC243" s="245"/>
      <c r="AD243" s="245"/>
    </row>
    <row r="244" spans="1:30" ht="15.5">
      <c r="A244" s="149"/>
      <c r="B244" s="338"/>
      <c r="C244" s="338"/>
      <c r="D244" s="338"/>
      <c r="E244" s="180"/>
      <c r="F244" s="342"/>
      <c r="G244" s="339"/>
      <c r="H244" s="340"/>
      <c r="I244" s="195" t="s">
        <v>309</v>
      </c>
      <c r="J244" s="334"/>
      <c r="K244" s="245"/>
      <c r="L244" s="245"/>
      <c r="M244" s="245"/>
      <c r="N244" s="245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  <c r="AA244" s="245"/>
      <c r="AB244" s="245"/>
      <c r="AC244" s="245"/>
      <c r="AD244" s="245"/>
    </row>
    <row r="245" spans="1:30" ht="15.5">
      <c r="A245" s="149"/>
      <c r="B245" s="338"/>
      <c r="C245" s="338"/>
      <c r="D245" s="338"/>
      <c r="E245" s="180"/>
      <c r="F245" s="342"/>
      <c r="G245" s="339"/>
      <c r="H245" s="340"/>
      <c r="I245" s="195" t="s">
        <v>310</v>
      </c>
      <c r="J245" s="334"/>
      <c r="K245" s="245"/>
      <c r="L245" s="245"/>
      <c r="M245" s="245"/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  <c r="AA245" s="245"/>
      <c r="AB245" s="245"/>
      <c r="AC245" s="245"/>
      <c r="AD245" s="245"/>
    </row>
    <row r="246" spans="1:30" ht="15.5">
      <c r="A246" s="149"/>
      <c r="B246" s="338"/>
      <c r="C246" s="338"/>
      <c r="D246" s="338"/>
      <c r="E246" s="180"/>
      <c r="F246" s="342"/>
      <c r="G246" s="339"/>
      <c r="H246" s="340"/>
      <c r="I246" s="195" t="s">
        <v>311</v>
      </c>
      <c r="J246" s="334"/>
      <c r="K246" s="245"/>
      <c r="L246" s="245"/>
      <c r="M246" s="245"/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  <c r="AA246" s="245"/>
      <c r="AB246" s="245"/>
      <c r="AC246" s="245"/>
      <c r="AD246" s="245"/>
    </row>
    <row r="247" spans="1:30" ht="15.5">
      <c r="A247" s="149"/>
      <c r="B247" s="338"/>
      <c r="C247" s="338"/>
      <c r="D247" s="338"/>
      <c r="E247" s="180"/>
      <c r="F247" s="342"/>
      <c r="G247" s="339"/>
      <c r="H247" s="340"/>
      <c r="I247" s="195" t="s">
        <v>312</v>
      </c>
      <c r="J247" s="334"/>
      <c r="K247" s="245"/>
      <c r="L247" s="245"/>
      <c r="M247" s="245"/>
      <c r="N247" s="24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  <c r="AA247" s="245"/>
      <c r="AB247" s="245"/>
      <c r="AC247" s="245"/>
      <c r="AD247" s="245"/>
    </row>
    <row r="248" spans="1:30" ht="15.5">
      <c r="A248" s="149"/>
      <c r="B248" s="338"/>
      <c r="C248" s="338"/>
      <c r="D248" s="338"/>
      <c r="E248" s="180"/>
      <c r="F248" s="342"/>
      <c r="G248" s="339"/>
      <c r="H248" s="340"/>
      <c r="I248" s="195" t="s">
        <v>313</v>
      </c>
      <c r="J248" s="334"/>
      <c r="K248" s="245"/>
      <c r="L248" s="245"/>
      <c r="M248" s="245"/>
      <c r="N248" s="245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  <c r="AA248" s="245"/>
      <c r="AB248" s="245"/>
      <c r="AC248" s="245"/>
      <c r="AD248" s="245"/>
    </row>
    <row r="249" spans="1:30" ht="15.5">
      <c r="A249" s="149"/>
      <c r="B249" s="338"/>
      <c r="C249" s="338"/>
      <c r="D249" s="338"/>
      <c r="E249" s="180" t="s">
        <v>314</v>
      </c>
      <c r="F249" s="342" t="s">
        <v>315</v>
      </c>
      <c r="G249" s="339">
        <v>5000</v>
      </c>
      <c r="H249" s="340">
        <f t="shared" ref="H249:H251" si="21">G249/$G$241</f>
        <v>1.5830700160206684E-2</v>
      </c>
      <c r="I249" s="195" t="s">
        <v>316</v>
      </c>
      <c r="J249" s="334"/>
      <c r="K249" s="245"/>
      <c r="L249" s="245"/>
      <c r="M249" s="245"/>
      <c r="N249" s="245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  <c r="AA249" s="245"/>
      <c r="AB249" s="245"/>
      <c r="AC249" s="245"/>
      <c r="AD249" s="245"/>
    </row>
    <row r="250" spans="1:30" ht="15.5">
      <c r="A250" s="149"/>
      <c r="B250" s="338"/>
      <c r="C250" s="338"/>
      <c r="D250" s="338"/>
      <c r="E250" s="180" t="s">
        <v>317</v>
      </c>
      <c r="F250" s="342" t="s">
        <v>318</v>
      </c>
      <c r="G250" s="339">
        <v>2000</v>
      </c>
      <c r="H250" s="340">
        <f t="shared" si="21"/>
        <v>6.3322800640826741E-3</v>
      </c>
      <c r="I250" s="195" t="s">
        <v>319</v>
      </c>
      <c r="J250" s="334"/>
      <c r="K250" s="245"/>
      <c r="L250" s="245"/>
      <c r="M250" s="245"/>
      <c r="N250" s="245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  <c r="AA250" s="245"/>
      <c r="AB250" s="245"/>
      <c r="AC250" s="245"/>
      <c r="AD250" s="245"/>
    </row>
    <row r="251" spans="1:30" ht="15.5">
      <c r="A251" s="149"/>
      <c r="B251" s="338"/>
      <c r="C251" s="338"/>
      <c r="D251" s="338"/>
      <c r="E251" s="180" t="s">
        <v>218</v>
      </c>
      <c r="F251" s="342" t="s">
        <v>219</v>
      </c>
      <c r="G251" s="339">
        <v>10000</v>
      </c>
      <c r="H251" s="340">
        <f t="shared" si="21"/>
        <v>3.1661400320413369E-2</v>
      </c>
      <c r="I251" s="195" t="s">
        <v>320</v>
      </c>
      <c r="J251" s="334"/>
      <c r="K251" s="245"/>
      <c r="L251" s="245"/>
      <c r="M251" s="245"/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  <c r="AA251" s="245"/>
      <c r="AB251" s="245"/>
      <c r="AC251" s="245"/>
      <c r="AD251" s="245"/>
    </row>
    <row r="252" spans="1:30" ht="15.5">
      <c r="A252" s="149"/>
      <c r="B252" s="338"/>
      <c r="C252" s="338"/>
      <c r="D252" s="338"/>
      <c r="E252" s="180"/>
      <c r="F252" s="342"/>
      <c r="G252" s="339"/>
      <c r="H252" s="340"/>
      <c r="I252" s="195" t="s">
        <v>321</v>
      </c>
      <c r="J252" s="334"/>
      <c r="K252" s="245"/>
      <c r="L252" s="245"/>
      <c r="M252" s="245"/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  <c r="AA252" s="245"/>
      <c r="AB252" s="245"/>
      <c r="AC252" s="245"/>
      <c r="AD252" s="245"/>
    </row>
    <row r="253" spans="1:30" ht="15.5">
      <c r="A253" s="149"/>
      <c r="B253" s="338"/>
      <c r="C253" s="338"/>
      <c r="D253" s="338"/>
      <c r="E253" s="180"/>
      <c r="F253" s="342"/>
      <c r="G253" s="339"/>
      <c r="H253" s="340"/>
      <c r="I253" s="195" t="s">
        <v>322</v>
      </c>
      <c r="J253" s="334"/>
      <c r="K253" s="245"/>
      <c r="L253" s="245"/>
      <c r="M253" s="245"/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  <c r="AA253" s="245"/>
      <c r="AB253" s="245"/>
      <c r="AC253" s="245"/>
      <c r="AD253" s="245"/>
    </row>
    <row r="254" spans="1:30" ht="15.5">
      <c r="A254" s="149"/>
      <c r="B254" s="338"/>
      <c r="C254" s="338"/>
      <c r="D254" s="338"/>
      <c r="E254" s="180"/>
      <c r="F254" s="342"/>
      <c r="G254" s="339"/>
      <c r="H254" s="340"/>
      <c r="I254" s="195" t="s">
        <v>323</v>
      </c>
      <c r="J254" s="334"/>
      <c r="K254" s="245"/>
      <c r="L254" s="245"/>
      <c r="M254" s="245"/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  <c r="AA254" s="245"/>
      <c r="AB254" s="245"/>
      <c r="AC254" s="245"/>
      <c r="AD254" s="245"/>
    </row>
    <row r="255" spans="1:30" ht="15.5">
      <c r="A255" s="149"/>
      <c r="B255" s="338"/>
      <c r="C255" s="338"/>
      <c r="D255" s="338"/>
      <c r="E255" s="180" t="s">
        <v>158</v>
      </c>
      <c r="F255" s="342" t="s">
        <v>159</v>
      </c>
      <c r="G255" s="339">
        <v>5000</v>
      </c>
      <c r="H255" s="340">
        <f t="shared" ref="H255:H256" si="22">G255/$G$241</f>
        <v>1.5830700160206684E-2</v>
      </c>
      <c r="I255" s="195" t="s">
        <v>324</v>
      </c>
      <c r="J255" s="334"/>
      <c r="K255" s="245"/>
      <c r="L255" s="245"/>
      <c r="M255" s="245"/>
      <c r="N255" s="245"/>
      <c r="O255" s="245"/>
      <c r="P255" s="245"/>
      <c r="Q255" s="245"/>
      <c r="R255" s="245"/>
      <c r="S255" s="245"/>
      <c r="T255" s="245"/>
      <c r="U255" s="245"/>
      <c r="V255" s="245"/>
      <c r="W255" s="245"/>
      <c r="X255" s="245"/>
      <c r="Y255" s="245"/>
      <c r="Z255" s="245"/>
      <c r="AA255" s="245"/>
      <c r="AB255" s="245"/>
      <c r="AC255" s="245"/>
      <c r="AD255" s="245"/>
    </row>
    <row r="256" spans="1:30" ht="15.5">
      <c r="A256" s="149"/>
      <c r="B256" s="338"/>
      <c r="C256" s="338"/>
      <c r="D256" s="338"/>
      <c r="E256" s="180" t="s">
        <v>162</v>
      </c>
      <c r="F256" s="342" t="s">
        <v>163</v>
      </c>
      <c r="G256" s="339">
        <v>24000</v>
      </c>
      <c r="H256" s="340">
        <f t="shared" si="22"/>
        <v>7.5987360768992096E-2</v>
      </c>
      <c r="I256" s="195" t="s">
        <v>325</v>
      </c>
      <c r="J256" s="334"/>
      <c r="K256" s="245"/>
      <c r="L256" s="245"/>
      <c r="M256" s="245"/>
      <c r="N256" s="245"/>
      <c r="O256" s="245"/>
      <c r="P256" s="245"/>
      <c r="Q256" s="245"/>
      <c r="R256" s="245"/>
      <c r="S256" s="245"/>
      <c r="T256" s="245"/>
      <c r="U256" s="245"/>
      <c r="V256" s="245"/>
      <c r="W256" s="245"/>
      <c r="X256" s="245"/>
      <c r="Y256" s="245"/>
      <c r="Z256" s="245"/>
      <c r="AA256" s="245"/>
      <c r="AB256" s="245"/>
      <c r="AC256" s="245"/>
      <c r="AD256" s="245"/>
    </row>
    <row r="257" spans="1:30" ht="15.5">
      <c r="A257" s="149"/>
      <c r="B257" s="338"/>
      <c r="C257" s="338"/>
      <c r="D257" s="338"/>
      <c r="E257" s="180"/>
      <c r="F257" s="342"/>
      <c r="G257" s="339"/>
      <c r="H257" s="340"/>
      <c r="I257" s="195" t="s">
        <v>326</v>
      </c>
      <c r="J257" s="334"/>
      <c r="K257" s="245"/>
      <c r="L257" s="245"/>
      <c r="M257" s="245"/>
      <c r="N257" s="245"/>
      <c r="O257" s="245"/>
      <c r="P257" s="245"/>
      <c r="Q257" s="245"/>
      <c r="R257" s="245"/>
      <c r="S257" s="245"/>
      <c r="T257" s="245"/>
      <c r="U257" s="245"/>
      <c r="V257" s="245"/>
      <c r="W257" s="245"/>
      <c r="X257" s="245"/>
      <c r="Y257" s="245"/>
      <c r="Z257" s="245"/>
      <c r="AA257" s="245"/>
      <c r="AB257" s="245"/>
      <c r="AC257" s="245"/>
      <c r="AD257" s="245"/>
    </row>
    <row r="258" spans="1:30" ht="15.5">
      <c r="A258" s="149"/>
      <c r="B258" s="338"/>
      <c r="C258" s="338"/>
      <c r="D258" s="338"/>
      <c r="E258" s="180" t="s">
        <v>327</v>
      </c>
      <c r="F258" s="342" t="s">
        <v>328</v>
      </c>
      <c r="G258" s="339">
        <v>11000</v>
      </c>
      <c r="H258" s="340">
        <f t="shared" ref="H258:H261" si="23">G258/$G$241</f>
        <v>3.4827540352454708E-2</v>
      </c>
      <c r="I258" s="195" t="s">
        <v>329</v>
      </c>
      <c r="J258" s="334"/>
      <c r="K258" s="245"/>
      <c r="L258" s="245"/>
      <c r="M258" s="245"/>
      <c r="N258" s="245"/>
      <c r="O258" s="245"/>
      <c r="P258" s="245"/>
      <c r="Q258" s="245"/>
      <c r="R258" s="245"/>
      <c r="S258" s="245"/>
      <c r="T258" s="245"/>
      <c r="U258" s="245"/>
      <c r="V258" s="245"/>
      <c r="W258" s="245"/>
      <c r="X258" s="245"/>
      <c r="Y258" s="245"/>
      <c r="Z258" s="245"/>
      <c r="AA258" s="245"/>
      <c r="AB258" s="245"/>
      <c r="AC258" s="245"/>
      <c r="AD258" s="245"/>
    </row>
    <row r="259" spans="1:30" ht="15.5">
      <c r="A259" s="149"/>
      <c r="B259" s="338"/>
      <c r="C259" s="338"/>
      <c r="D259" s="338"/>
      <c r="E259" s="180" t="s">
        <v>168</v>
      </c>
      <c r="F259" s="342" t="s">
        <v>169</v>
      </c>
      <c r="G259" s="339">
        <v>1500</v>
      </c>
      <c r="H259" s="340">
        <f t="shared" si="23"/>
        <v>4.749210048062006E-3</v>
      </c>
      <c r="I259" s="195" t="s">
        <v>330</v>
      </c>
      <c r="J259" s="334"/>
      <c r="K259" s="245"/>
      <c r="L259" s="245"/>
      <c r="M259" s="245"/>
      <c r="N259" s="245"/>
      <c r="O259" s="245"/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  <c r="AA259" s="245"/>
      <c r="AB259" s="245"/>
      <c r="AC259" s="245"/>
      <c r="AD259" s="245"/>
    </row>
    <row r="260" spans="1:30" ht="15.5">
      <c r="A260" s="149"/>
      <c r="B260" s="338"/>
      <c r="C260" s="338"/>
      <c r="D260" s="338"/>
      <c r="E260" s="180" t="s">
        <v>186</v>
      </c>
      <c r="F260" s="342" t="s">
        <v>187</v>
      </c>
      <c r="G260" s="339">
        <v>1000</v>
      </c>
      <c r="H260" s="340">
        <f t="shared" si="23"/>
        <v>3.166140032041337E-3</v>
      </c>
      <c r="I260" s="195" t="s">
        <v>331</v>
      </c>
      <c r="J260" s="334"/>
      <c r="K260" s="245"/>
      <c r="L260" s="245"/>
      <c r="M260" s="245"/>
      <c r="N260" s="245"/>
      <c r="O260" s="245"/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  <c r="AA260" s="245"/>
      <c r="AB260" s="245"/>
      <c r="AC260" s="245"/>
      <c r="AD260" s="245"/>
    </row>
    <row r="261" spans="1:30" ht="15.5">
      <c r="A261" s="149"/>
      <c r="B261" s="338"/>
      <c r="C261" s="338"/>
      <c r="D261" s="338"/>
      <c r="E261" s="180" t="s">
        <v>332</v>
      </c>
      <c r="F261" s="342" t="s">
        <v>333</v>
      </c>
      <c r="G261" s="339">
        <v>32000</v>
      </c>
      <c r="H261" s="340">
        <f t="shared" si="23"/>
        <v>0.10131648102532279</v>
      </c>
      <c r="I261" s="195" t="s">
        <v>334</v>
      </c>
      <c r="J261" s="334"/>
      <c r="K261" s="245"/>
      <c r="L261" s="245"/>
      <c r="M261" s="245"/>
      <c r="N261" s="245"/>
      <c r="O261" s="245"/>
      <c r="P261" s="245"/>
      <c r="Q261" s="245"/>
      <c r="R261" s="245"/>
      <c r="S261" s="245"/>
      <c r="T261" s="245"/>
      <c r="U261" s="245"/>
      <c r="V261" s="245"/>
      <c r="W261" s="245"/>
      <c r="X261" s="245"/>
      <c r="Y261" s="245"/>
      <c r="Z261" s="245"/>
      <c r="AA261" s="245"/>
      <c r="AB261" s="245"/>
      <c r="AC261" s="245"/>
      <c r="AD261" s="245"/>
    </row>
    <row r="262" spans="1:30" ht="15.5">
      <c r="A262" s="309"/>
      <c r="B262" s="323"/>
      <c r="C262" s="323" t="s">
        <v>47</v>
      </c>
      <c r="D262" s="323" t="s">
        <v>53</v>
      </c>
      <c r="E262" s="323"/>
      <c r="F262" s="221" t="s">
        <v>120</v>
      </c>
      <c r="G262" s="368">
        <f>SUM(G263:G264)</f>
        <v>28000</v>
      </c>
      <c r="H262" s="367">
        <f>G262/$G$225</f>
        <v>6.8425863021197353E-2</v>
      </c>
      <c r="I262" s="369"/>
      <c r="J262" s="245"/>
      <c r="K262" s="245"/>
      <c r="L262" s="245"/>
      <c r="M262" s="245"/>
      <c r="N262" s="245"/>
      <c r="O262" s="245"/>
      <c r="P262" s="245"/>
      <c r="Q262" s="245"/>
      <c r="R262" s="245"/>
      <c r="S262" s="245"/>
      <c r="T262" s="245"/>
      <c r="U262" s="245"/>
      <c r="V262" s="245"/>
      <c r="W262" s="245"/>
      <c r="X262" s="245"/>
      <c r="Y262" s="245"/>
      <c r="Z262" s="245"/>
      <c r="AA262" s="245"/>
      <c r="AB262" s="245"/>
      <c r="AC262" s="245"/>
      <c r="AD262" s="245"/>
    </row>
    <row r="263" spans="1:30" ht="15.5">
      <c r="A263" s="149"/>
      <c r="B263" s="150"/>
      <c r="C263" s="150"/>
      <c r="D263" s="150"/>
      <c r="E263" s="146" t="s">
        <v>126</v>
      </c>
      <c r="F263" s="168" t="s">
        <v>127</v>
      </c>
      <c r="G263" s="263">
        <v>25000</v>
      </c>
      <c r="H263" s="247">
        <f t="shared" ref="H263" si="24">G263/G262</f>
        <v>0.8928571428571429</v>
      </c>
      <c r="I263" s="194" t="s">
        <v>335</v>
      </c>
      <c r="J263" s="195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  <c r="AA263" s="168"/>
      <c r="AB263" s="168"/>
      <c r="AC263" s="168"/>
      <c r="AD263" s="168"/>
    </row>
    <row r="264" spans="1:30" ht="15.5">
      <c r="A264" s="149"/>
      <c r="B264" s="150"/>
      <c r="C264" s="150"/>
      <c r="D264" s="150"/>
      <c r="E264" s="146" t="s">
        <v>141</v>
      </c>
      <c r="F264" s="343" t="s">
        <v>142</v>
      </c>
      <c r="G264" s="263">
        <v>3000</v>
      </c>
      <c r="H264" s="247">
        <f>G264/G262</f>
        <v>0.10714285714285714</v>
      </c>
      <c r="I264" s="194" t="s">
        <v>336</v>
      </c>
      <c r="J264" s="195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  <c r="AA264" s="168"/>
      <c r="AB264" s="168"/>
      <c r="AC264" s="168"/>
      <c r="AD264" s="168"/>
    </row>
    <row r="265" spans="1:30" ht="15.5">
      <c r="A265" s="149"/>
      <c r="B265" s="355"/>
      <c r="C265" s="352" t="s">
        <v>51</v>
      </c>
      <c r="D265" s="329" t="s">
        <v>51</v>
      </c>
      <c r="E265" s="356"/>
      <c r="F265" s="333" t="s">
        <v>52</v>
      </c>
      <c r="G265" s="357">
        <f>ROUND((G226+G241+G262)/95*5,0)</f>
        <v>20460</v>
      </c>
      <c r="H265" s="358">
        <f>G265/G225</f>
        <v>4.9999755621917781E-2</v>
      </c>
      <c r="I265" s="350" t="s">
        <v>152</v>
      </c>
      <c r="J265" s="354"/>
      <c r="K265" s="350"/>
      <c r="L265" s="350"/>
      <c r="M265" s="350"/>
      <c r="N265" s="350"/>
      <c r="O265" s="350"/>
      <c r="P265" s="350"/>
      <c r="Q265" s="350"/>
      <c r="R265" s="350"/>
      <c r="S265" s="350"/>
      <c r="T265" s="350"/>
      <c r="U265" s="350"/>
      <c r="V265" s="350"/>
      <c r="W265" s="350"/>
      <c r="X265" s="350"/>
      <c r="Y265" s="350"/>
      <c r="Z265" s="350"/>
      <c r="AA265" s="350"/>
      <c r="AB265" s="350"/>
      <c r="AC265" s="350"/>
      <c r="AD265" s="350"/>
    </row>
    <row r="266" spans="1:30" ht="15.5">
      <c r="A266" s="149"/>
      <c r="B266" s="338"/>
      <c r="C266" s="338"/>
      <c r="D266" s="338"/>
      <c r="E266" s="180"/>
      <c r="F266" s="342"/>
      <c r="G266" s="339"/>
      <c r="H266" s="340"/>
      <c r="I266" s="195"/>
      <c r="J266" s="334"/>
      <c r="K266" s="245"/>
      <c r="L266" s="245"/>
      <c r="M266" s="245"/>
      <c r="N266" s="245"/>
      <c r="O266" s="245"/>
      <c r="P266" s="245"/>
      <c r="Q266" s="245"/>
      <c r="R266" s="245"/>
      <c r="S266" s="245"/>
      <c r="T266" s="245"/>
      <c r="U266" s="245"/>
      <c r="V266" s="245"/>
      <c r="W266" s="245"/>
      <c r="X266" s="245"/>
      <c r="Y266" s="245"/>
      <c r="Z266" s="245"/>
      <c r="AA266" s="245"/>
      <c r="AB266" s="245"/>
      <c r="AC266" s="245"/>
      <c r="AD266" s="245"/>
    </row>
    <row r="267" spans="1:30" ht="15.5">
      <c r="A267" s="149"/>
      <c r="B267" s="338"/>
      <c r="C267" s="338"/>
      <c r="D267" s="338"/>
      <c r="E267" s="180"/>
      <c r="F267" s="342"/>
      <c r="G267" s="339"/>
      <c r="H267" s="340"/>
      <c r="I267" s="195"/>
      <c r="J267" s="334"/>
      <c r="K267" s="245"/>
      <c r="L267" s="245"/>
      <c r="M267" s="245"/>
      <c r="N267" s="245"/>
      <c r="O267" s="245"/>
      <c r="P267" s="245"/>
      <c r="Q267" s="245"/>
      <c r="R267" s="245"/>
      <c r="S267" s="245"/>
      <c r="T267" s="245"/>
      <c r="U267" s="245"/>
      <c r="V267" s="245"/>
      <c r="W267" s="245"/>
      <c r="X267" s="245"/>
      <c r="Y267" s="245"/>
      <c r="Z267" s="245"/>
      <c r="AA267" s="245"/>
      <c r="AB267" s="245"/>
      <c r="AC267" s="245"/>
      <c r="AD267" s="245"/>
    </row>
    <row r="268" spans="1:30" ht="15.5">
      <c r="A268" s="149"/>
      <c r="B268" s="338"/>
      <c r="C268" s="338"/>
      <c r="D268" s="338"/>
      <c r="E268" s="180"/>
      <c r="F268" s="342"/>
      <c r="G268" s="339"/>
      <c r="H268" s="340"/>
      <c r="I268" s="195"/>
      <c r="J268" s="334"/>
      <c r="K268" s="245"/>
      <c r="L268" s="245"/>
      <c r="M268" s="245"/>
      <c r="N268" s="245"/>
      <c r="O268" s="245"/>
      <c r="P268" s="245"/>
      <c r="Q268" s="245"/>
      <c r="R268" s="245"/>
      <c r="S268" s="245"/>
      <c r="T268" s="245"/>
      <c r="U268" s="245"/>
      <c r="V268" s="245"/>
      <c r="W268" s="245"/>
      <c r="X268" s="245"/>
      <c r="Y268" s="245"/>
      <c r="Z268" s="245"/>
      <c r="AA268" s="245"/>
      <c r="AB268" s="245"/>
      <c r="AC268" s="245"/>
      <c r="AD268" s="245"/>
    </row>
    <row r="269" spans="1:30" ht="15.5">
      <c r="A269" s="359"/>
      <c r="B269" s="208" t="s">
        <v>51</v>
      </c>
      <c r="C269" s="208" t="s">
        <v>47</v>
      </c>
      <c r="D269" s="208" t="s">
        <v>47</v>
      </c>
      <c r="E269" s="360"/>
      <c r="F269" s="210" t="s">
        <v>25</v>
      </c>
      <c r="G269" s="279">
        <f>G270+G274+G288+G317</f>
        <v>110474</v>
      </c>
      <c r="H269" s="361">
        <f>G269/$G$8</f>
        <v>7.0586612417921857E-2</v>
      </c>
      <c r="I269" s="362"/>
      <c r="J269" s="363"/>
      <c r="K269" s="364"/>
      <c r="L269" s="364"/>
      <c r="M269" s="364"/>
      <c r="N269" s="364"/>
      <c r="O269" s="364"/>
      <c r="P269" s="364"/>
      <c r="Q269" s="364"/>
      <c r="R269" s="364"/>
      <c r="S269" s="364"/>
      <c r="T269" s="364"/>
      <c r="U269" s="364"/>
      <c r="V269" s="364"/>
      <c r="W269" s="364"/>
      <c r="X269" s="364"/>
      <c r="Y269" s="364"/>
      <c r="Z269" s="364"/>
      <c r="AA269" s="364"/>
      <c r="AB269" s="364"/>
      <c r="AC269" s="364"/>
      <c r="AD269" s="364"/>
    </row>
    <row r="270" spans="1:30" ht="15.5">
      <c r="A270" s="149"/>
      <c r="B270" s="234"/>
      <c r="C270" s="234" t="s">
        <v>47</v>
      </c>
      <c r="D270" s="234" t="s">
        <v>46</v>
      </c>
      <c r="E270" s="243"/>
      <c r="F270" s="221" t="s">
        <v>48</v>
      </c>
      <c r="G270" s="256">
        <f>SUM(G271:G273)</f>
        <v>38750</v>
      </c>
      <c r="H270" s="220">
        <f>G270/$G$269</f>
        <v>0.35076126509404926</v>
      </c>
      <c r="I270" s="221"/>
      <c r="J270" s="244"/>
      <c r="K270" s="245"/>
      <c r="L270" s="245"/>
      <c r="M270" s="245"/>
      <c r="N270" s="245"/>
      <c r="O270" s="245"/>
      <c r="P270" s="245"/>
      <c r="Q270" s="245"/>
      <c r="R270" s="245"/>
      <c r="S270" s="245"/>
      <c r="T270" s="245"/>
      <c r="U270" s="245"/>
      <c r="V270" s="245"/>
      <c r="W270" s="245"/>
      <c r="X270" s="245"/>
      <c r="Y270" s="245"/>
      <c r="Z270" s="245"/>
      <c r="AA270" s="245"/>
      <c r="AB270" s="245"/>
      <c r="AC270" s="245"/>
      <c r="AD270" s="245"/>
    </row>
    <row r="271" spans="1:30" ht="15.5">
      <c r="A271" s="149"/>
      <c r="B271" s="150"/>
      <c r="C271" s="150"/>
      <c r="D271" s="150"/>
      <c r="E271" s="146" t="s">
        <v>126</v>
      </c>
      <c r="F271" s="194" t="s">
        <v>127</v>
      </c>
      <c r="G271" s="263">
        <v>32000</v>
      </c>
      <c r="H271" s="247">
        <f t="shared" ref="H271:H273" si="25">G271/$G$270</f>
        <v>0.82580645161290323</v>
      </c>
      <c r="I271" s="195" t="s">
        <v>337</v>
      </c>
      <c r="J271" s="195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  <c r="AA271" s="168"/>
      <c r="AB271" s="168"/>
      <c r="AC271" s="168"/>
      <c r="AD271" s="168"/>
    </row>
    <row r="272" spans="1:30" ht="15.5">
      <c r="A272" s="149"/>
      <c r="B272" s="150"/>
      <c r="C272" s="150"/>
      <c r="D272" s="150"/>
      <c r="E272" s="146" t="s">
        <v>130</v>
      </c>
      <c r="F272" s="194" t="s">
        <v>131</v>
      </c>
      <c r="G272" s="263">
        <v>3000</v>
      </c>
      <c r="H272" s="247">
        <f t="shared" si="25"/>
        <v>7.7419354838709681E-2</v>
      </c>
      <c r="I272" s="195" t="s">
        <v>157</v>
      </c>
      <c r="J272" s="195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  <c r="AA272" s="168"/>
      <c r="AB272" s="168"/>
      <c r="AC272" s="168"/>
      <c r="AD272" s="168"/>
    </row>
    <row r="273" spans="1:30" ht="15.5">
      <c r="A273" s="149"/>
      <c r="B273" s="150"/>
      <c r="C273" s="150"/>
      <c r="D273" s="150"/>
      <c r="E273" s="146" t="s">
        <v>338</v>
      </c>
      <c r="F273" s="194" t="s">
        <v>339</v>
      </c>
      <c r="G273" s="263">
        <v>3750</v>
      </c>
      <c r="H273" s="247">
        <f t="shared" si="25"/>
        <v>9.6774193548387094E-2</v>
      </c>
      <c r="I273" s="194" t="s">
        <v>340</v>
      </c>
      <c r="J273" s="195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  <c r="AA273" s="168"/>
      <c r="AB273" s="168"/>
      <c r="AC273" s="168"/>
      <c r="AD273" s="168"/>
    </row>
    <row r="274" spans="1:30" ht="15.5">
      <c r="A274" s="149"/>
      <c r="B274" s="234"/>
      <c r="C274" s="234" t="s">
        <v>46</v>
      </c>
      <c r="D274" s="234" t="s">
        <v>47</v>
      </c>
      <c r="E274" s="243"/>
      <c r="F274" s="221" t="s">
        <v>80</v>
      </c>
      <c r="G274" s="256">
        <f>G275+G282</f>
        <v>36900</v>
      </c>
      <c r="H274" s="220">
        <f>G274/$G$269</f>
        <v>0.33401524340568822</v>
      </c>
      <c r="I274" s="221"/>
      <c r="J274" s="244"/>
      <c r="K274" s="245"/>
      <c r="L274" s="245"/>
      <c r="M274" s="245"/>
      <c r="N274" s="245"/>
      <c r="O274" s="245"/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  <c r="AA274" s="245"/>
      <c r="AB274" s="245"/>
      <c r="AC274" s="245"/>
      <c r="AD274" s="245"/>
    </row>
    <row r="275" spans="1:30" ht="15.5">
      <c r="A275" s="307"/>
      <c r="B275" s="301"/>
      <c r="C275" s="300"/>
      <c r="D275" s="284" t="s">
        <v>46</v>
      </c>
      <c r="E275" s="302"/>
      <c r="F275" s="370" t="s">
        <v>81</v>
      </c>
      <c r="G275" s="371">
        <f>SUM(G276:G281)</f>
        <v>29200</v>
      </c>
      <c r="H275" s="372">
        <f>G275/G274</f>
        <v>0.79132791327913277</v>
      </c>
      <c r="I275" s="373"/>
      <c r="J275" s="3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  <c r="AA275" s="174"/>
      <c r="AB275" s="174"/>
      <c r="AC275" s="174"/>
      <c r="AD275" s="174"/>
    </row>
    <row r="276" spans="1:30" ht="15.5">
      <c r="A276" s="149"/>
      <c r="B276" s="338"/>
      <c r="C276" s="338"/>
      <c r="D276" s="338"/>
      <c r="E276" s="180" t="s">
        <v>204</v>
      </c>
      <c r="F276" s="342" t="s">
        <v>205</v>
      </c>
      <c r="G276" s="339">
        <v>9000</v>
      </c>
      <c r="H276" s="340">
        <f t="shared" ref="H276:H281" si="26">G276/$G$275</f>
        <v>0.30821917808219179</v>
      </c>
      <c r="I276" s="195" t="s">
        <v>341</v>
      </c>
      <c r="J276" s="195"/>
      <c r="K276" s="245"/>
      <c r="L276" s="245"/>
      <c r="M276" s="245"/>
      <c r="N276" s="245"/>
      <c r="O276" s="245"/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  <c r="AA276" s="245"/>
      <c r="AB276" s="245"/>
      <c r="AC276" s="245"/>
      <c r="AD276" s="245"/>
    </row>
    <row r="277" spans="1:30" ht="15.5">
      <c r="A277" s="149"/>
      <c r="B277" s="338"/>
      <c r="C277" s="338"/>
      <c r="D277" s="338"/>
      <c r="E277" s="180" t="s">
        <v>218</v>
      </c>
      <c r="F277" s="342" t="s">
        <v>219</v>
      </c>
      <c r="G277" s="339">
        <v>8400</v>
      </c>
      <c r="H277" s="340">
        <f t="shared" si="26"/>
        <v>0.28767123287671231</v>
      </c>
      <c r="I277" s="195" t="s">
        <v>342</v>
      </c>
      <c r="J277" s="195"/>
      <c r="K277" s="245"/>
      <c r="L277" s="245"/>
      <c r="M277" s="245"/>
      <c r="N277" s="245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  <c r="AA277" s="245"/>
      <c r="AB277" s="245"/>
      <c r="AC277" s="245"/>
      <c r="AD277" s="245"/>
    </row>
    <row r="278" spans="1:30" ht="15.5">
      <c r="A278" s="149"/>
      <c r="B278" s="338"/>
      <c r="C278" s="338"/>
      <c r="D278" s="338"/>
      <c r="E278" s="180" t="s">
        <v>133</v>
      </c>
      <c r="F278" s="342" t="s">
        <v>134</v>
      </c>
      <c r="G278" s="339">
        <v>2500</v>
      </c>
      <c r="H278" s="340">
        <f t="shared" si="26"/>
        <v>8.5616438356164379E-2</v>
      </c>
      <c r="I278" s="195" t="s">
        <v>343</v>
      </c>
      <c r="J278" s="195"/>
      <c r="K278" s="245"/>
      <c r="L278" s="245"/>
      <c r="M278" s="245"/>
      <c r="N278" s="245"/>
      <c r="O278" s="245"/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  <c r="AA278" s="245"/>
      <c r="AB278" s="245"/>
      <c r="AC278" s="245"/>
      <c r="AD278" s="245"/>
    </row>
    <row r="279" spans="1:30" ht="15.5">
      <c r="A279" s="149"/>
      <c r="B279" s="338"/>
      <c r="C279" s="338"/>
      <c r="D279" s="338"/>
      <c r="E279" s="180" t="s">
        <v>162</v>
      </c>
      <c r="F279" s="342" t="s">
        <v>163</v>
      </c>
      <c r="G279" s="339">
        <v>3000</v>
      </c>
      <c r="H279" s="340">
        <f t="shared" si="26"/>
        <v>0.10273972602739725</v>
      </c>
      <c r="I279" s="195" t="s">
        <v>344</v>
      </c>
      <c r="J279" s="195" t="s">
        <v>124</v>
      </c>
      <c r="K279" s="245"/>
      <c r="L279" s="245"/>
      <c r="M279" s="245"/>
      <c r="N279" s="245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  <c r="AA279" s="245"/>
      <c r="AB279" s="245"/>
      <c r="AC279" s="245"/>
      <c r="AD279" s="245"/>
    </row>
    <row r="280" spans="1:30" ht="15.5">
      <c r="A280" s="149"/>
      <c r="B280" s="338"/>
      <c r="C280" s="338"/>
      <c r="D280" s="338"/>
      <c r="E280" s="180" t="s">
        <v>345</v>
      </c>
      <c r="F280" s="342" t="s">
        <v>346</v>
      </c>
      <c r="G280" s="339">
        <v>5800</v>
      </c>
      <c r="H280" s="340">
        <f t="shared" si="26"/>
        <v>0.19863013698630136</v>
      </c>
      <c r="I280" s="195" t="s">
        <v>347</v>
      </c>
      <c r="J280" s="195"/>
      <c r="K280" s="245"/>
      <c r="L280" s="245"/>
      <c r="M280" s="245"/>
      <c r="N280" s="245"/>
      <c r="O280" s="245"/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  <c r="AA280" s="245"/>
      <c r="AB280" s="245"/>
      <c r="AC280" s="245"/>
      <c r="AD280" s="245"/>
    </row>
    <row r="281" spans="1:30" ht="15.5">
      <c r="A281" s="149"/>
      <c r="B281" s="338"/>
      <c r="C281" s="338"/>
      <c r="D281" s="338"/>
      <c r="E281" s="180" t="s">
        <v>138</v>
      </c>
      <c r="F281" s="342" t="s">
        <v>139</v>
      </c>
      <c r="G281" s="339">
        <v>500</v>
      </c>
      <c r="H281" s="340">
        <f t="shared" si="26"/>
        <v>1.7123287671232876E-2</v>
      </c>
      <c r="I281" s="195" t="s">
        <v>140</v>
      </c>
      <c r="J281" s="195"/>
      <c r="K281" s="245"/>
      <c r="L281" s="245"/>
      <c r="M281" s="245"/>
      <c r="N281" s="245"/>
      <c r="O281" s="245"/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  <c r="AA281" s="245"/>
      <c r="AB281" s="245"/>
      <c r="AC281" s="245"/>
      <c r="AD281" s="245"/>
    </row>
    <row r="282" spans="1:30" ht="15.5">
      <c r="A282" s="307"/>
      <c r="B282" s="301"/>
      <c r="C282" s="300"/>
      <c r="D282" s="284" t="s">
        <v>49</v>
      </c>
      <c r="E282" s="302"/>
      <c r="F282" s="370" t="s">
        <v>348</v>
      </c>
      <c r="G282" s="371">
        <f>SUM(G283:G287)</f>
        <v>7700</v>
      </c>
      <c r="H282" s="372">
        <f>G282/G274</f>
        <v>0.20867208672086721</v>
      </c>
      <c r="I282" s="375" t="s">
        <v>349</v>
      </c>
      <c r="J282" s="3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  <c r="AA282" s="174"/>
      <c r="AB282" s="174"/>
      <c r="AC282" s="174"/>
      <c r="AD282" s="174"/>
    </row>
    <row r="283" spans="1:30" ht="15.5">
      <c r="A283" s="149"/>
      <c r="B283" s="338"/>
      <c r="C283" s="338"/>
      <c r="D283" s="338"/>
      <c r="E283" s="180" t="s">
        <v>126</v>
      </c>
      <c r="F283" s="342" t="s">
        <v>127</v>
      </c>
      <c r="G283" s="339">
        <v>1200</v>
      </c>
      <c r="H283" s="340">
        <f t="shared" ref="H283:H287" si="27">G283/$G$282</f>
        <v>0.15584415584415584</v>
      </c>
      <c r="I283" s="195" t="s">
        <v>350</v>
      </c>
      <c r="J283" s="195"/>
      <c r="K283" s="245"/>
      <c r="L283" s="245"/>
      <c r="M283" s="245"/>
      <c r="N283" s="245"/>
      <c r="O283" s="245"/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  <c r="AA283" s="245"/>
      <c r="AB283" s="245"/>
      <c r="AC283" s="245"/>
      <c r="AD283" s="245"/>
    </row>
    <row r="284" spans="1:30" ht="15.5">
      <c r="A284" s="149"/>
      <c r="B284" s="338"/>
      <c r="C284" s="338"/>
      <c r="D284" s="338"/>
      <c r="E284" s="180" t="s">
        <v>218</v>
      </c>
      <c r="F284" s="342" t="s">
        <v>219</v>
      </c>
      <c r="G284" s="339">
        <v>3600</v>
      </c>
      <c r="H284" s="340">
        <f>G284/$G$282</f>
        <v>0.46753246753246752</v>
      </c>
      <c r="I284" s="195" t="s">
        <v>351</v>
      </c>
      <c r="J284" s="195"/>
      <c r="K284" s="245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  <c r="AA284" s="245"/>
      <c r="AB284" s="245"/>
      <c r="AC284" s="245"/>
      <c r="AD284" s="245"/>
    </row>
    <row r="285" spans="1:30" ht="15.5">
      <c r="A285" s="149"/>
      <c r="B285" s="338"/>
      <c r="C285" s="338"/>
      <c r="D285" s="338"/>
      <c r="E285" s="180" t="s">
        <v>158</v>
      </c>
      <c r="F285" s="342" t="s">
        <v>159</v>
      </c>
      <c r="G285" s="339">
        <v>600</v>
      </c>
      <c r="H285" s="340">
        <f t="shared" si="27"/>
        <v>7.792207792207792E-2</v>
      </c>
      <c r="I285" s="195" t="s">
        <v>352</v>
      </c>
      <c r="J285" s="195"/>
      <c r="K285" s="245"/>
      <c r="L285" s="245"/>
      <c r="M285" s="245"/>
      <c r="N285" s="245"/>
      <c r="O285" s="245"/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  <c r="AA285" s="245"/>
      <c r="AB285" s="245"/>
      <c r="AC285" s="245"/>
      <c r="AD285" s="245"/>
    </row>
    <row r="286" spans="1:30" ht="15.5">
      <c r="A286" s="149"/>
      <c r="B286" s="338"/>
      <c r="C286" s="338"/>
      <c r="D286" s="338"/>
      <c r="E286" s="180" t="s">
        <v>162</v>
      </c>
      <c r="F286" s="342" t="s">
        <v>163</v>
      </c>
      <c r="G286" s="339">
        <v>1800</v>
      </c>
      <c r="H286" s="340">
        <f t="shared" si="27"/>
        <v>0.23376623376623376</v>
      </c>
      <c r="I286" s="195" t="s">
        <v>353</v>
      </c>
      <c r="J286" s="195" t="s">
        <v>124</v>
      </c>
      <c r="K286" s="245"/>
      <c r="L286" s="245"/>
      <c r="M286" s="245"/>
      <c r="N286" s="245"/>
      <c r="O286" s="245"/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  <c r="AA286" s="245"/>
      <c r="AB286" s="245"/>
      <c r="AC286" s="245"/>
      <c r="AD286" s="245"/>
    </row>
    <row r="287" spans="1:30" ht="15.5">
      <c r="A287" s="149"/>
      <c r="B287" s="338"/>
      <c r="C287" s="338"/>
      <c r="D287" s="338"/>
      <c r="E287" s="180" t="s">
        <v>138</v>
      </c>
      <c r="F287" s="342" t="s">
        <v>139</v>
      </c>
      <c r="G287" s="339">
        <v>500</v>
      </c>
      <c r="H287" s="340">
        <f t="shared" si="27"/>
        <v>6.4935064935064929E-2</v>
      </c>
      <c r="I287" s="195" t="s">
        <v>354</v>
      </c>
      <c r="J287" s="195"/>
      <c r="K287" s="245"/>
      <c r="L287" s="245"/>
      <c r="M287" s="245"/>
      <c r="N287" s="245"/>
      <c r="O287" s="245"/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  <c r="AA287" s="245"/>
      <c r="AB287" s="245"/>
      <c r="AC287" s="245"/>
      <c r="AD287" s="245"/>
    </row>
    <row r="288" spans="1:30" ht="15.5">
      <c r="A288" s="149"/>
      <c r="B288" s="234"/>
      <c r="C288" s="234" t="s">
        <v>49</v>
      </c>
      <c r="D288" s="234" t="s">
        <v>47</v>
      </c>
      <c r="E288" s="243"/>
      <c r="F288" s="221" t="s">
        <v>82</v>
      </c>
      <c r="G288" s="256">
        <f>G289+G296+G304</f>
        <v>29300</v>
      </c>
      <c r="H288" s="220">
        <f>G288/$G$269</f>
        <v>0.26522077592917792</v>
      </c>
      <c r="I288" s="221"/>
      <c r="J288" s="244"/>
      <c r="K288" s="245"/>
      <c r="L288" s="245"/>
      <c r="M288" s="245"/>
      <c r="N288" s="245"/>
      <c r="O288" s="245"/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  <c r="AA288" s="245"/>
      <c r="AB288" s="245"/>
      <c r="AC288" s="245"/>
      <c r="AD288" s="245"/>
    </row>
    <row r="289" spans="1:30" ht="15.5">
      <c r="A289" s="307"/>
      <c r="B289" s="301"/>
      <c r="C289" s="300"/>
      <c r="D289" s="284" t="s">
        <v>46</v>
      </c>
      <c r="E289" s="302"/>
      <c r="F289" s="370" t="s">
        <v>83</v>
      </c>
      <c r="G289" s="371">
        <f>SUM(G290:G295)</f>
        <v>7300</v>
      </c>
      <c r="H289" s="372">
        <f>G289/G288</f>
        <v>0.24914675767918087</v>
      </c>
      <c r="I289" s="373"/>
      <c r="J289" s="3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  <c r="AA289" s="174"/>
      <c r="AB289" s="174"/>
      <c r="AC289" s="174"/>
      <c r="AD289" s="174"/>
    </row>
    <row r="290" spans="1:30" ht="15.5">
      <c r="A290" s="149"/>
      <c r="B290" s="338"/>
      <c r="C290" s="338"/>
      <c r="D290" s="338"/>
      <c r="E290" s="180" t="s">
        <v>191</v>
      </c>
      <c r="F290" s="342" t="s">
        <v>192</v>
      </c>
      <c r="G290" s="339">
        <v>600</v>
      </c>
      <c r="H290" s="340">
        <f>G290/$G$289</f>
        <v>8.2191780821917804E-2</v>
      </c>
      <c r="I290" s="195" t="s">
        <v>355</v>
      </c>
      <c r="J290" s="195"/>
      <c r="K290" s="245"/>
      <c r="L290" s="245"/>
      <c r="M290" s="245"/>
      <c r="N290" s="245"/>
      <c r="O290" s="245"/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  <c r="AA290" s="245"/>
      <c r="AB290" s="245"/>
      <c r="AC290" s="245"/>
      <c r="AD290" s="245"/>
    </row>
    <row r="291" spans="1:30" ht="15.5">
      <c r="A291" s="149"/>
      <c r="B291" s="338"/>
      <c r="C291" s="338"/>
      <c r="D291" s="338"/>
      <c r="E291" s="180"/>
      <c r="F291" s="342"/>
      <c r="G291" s="339"/>
      <c r="H291" s="340"/>
      <c r="I291" s="195" t="s">
        <v>356</v>
      </c>
      <c r="J291" s="195"/>
      <c r="K291" s="245"/>
      <c r="L291" s="245"/>
      <c r="M291" s="245"/>
      <c r="N291" s="245"/>
      <c r="O291" s="245"/>
      <c r="P291" s="245"/>
      <c r="Q291" s="245"/>
      <c r="R291" s="245"/>
      <c r="S291" s="245"/>
      <c r="T291" s="245"/>
      <c r="U291" s="245"/>
      <c r="V291" s="245"/>
      <c r="W291" s="245"/>
      <c r="X291" s="245"/>
      <c r="Y291" s="245"/>
      <c r="Z291" s="245"/>
      <c r="AA291" s="245"/>
      <c r="AB291" s="245"/>
      <c r="AC291" s="245"/>
      <c r="AD291" s="245"/>
    </row>
    <row r="292" spans="1:30" ht="15.5">
      <c r="A292" s="149"/>
      <c r="B292" s="338"/>
      <c r="C292" s="338"/>
      <c r="D292" s="338"/>
      <c r="E292" s="180" t="s">
        <v>218</v>
      </c>
      <c r="F292" s="342" t="s">
        <v>219</v>
      </c>
      <c r="G292" s="339">
        <v>5000</v>
      </c>
      <c r="H292" s="340">
        <f t="shared" ref="H292:H295" si="28">G292/$G$289</f>
        <v>0.68493150684931503</v>
      </c>
      <c r="I292" s="195" t="s">
        <v>357</v>
      </c>
      <c r="J292" s="195"/>
      <c r="K292" s="245"/>
      <c r="L292" s="245"/>
      <c r="M292" s="245"/>
      <c r="N292" s="245"/>
      <c r="O292" s="245"/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  <c r="AA292" s="245"/>
      <c r="AB292" s="245"/>
      <c r="AC292" s="245"/>
      <c r="AD292" s="245"/>
    </row>
    <row r="293" spans="1:30" ht="15.5">
      <c r="A293" s="149"/>
      <c r="B293" s="338"/>
      <c r="C293" s="338"/>
      <c r="D293" s="338"/>
      <c r="E293" s="180" t="s">
        <v>158</v>
      </c>
      <c r="F293" s="342" t="s">
        <v>159</v>
      </c>
      <c r="G293" s="339">
        <v>1000</v>
      </c>
      <c r="H293" s="340">
        <f t="shared" si="28"/>
        <v>0.13698630136986301</v>
      </c>
      <c r="I293" s="195" t="s">
        <v>358</v>
      </c>
      <c r="J293" s="195"/>
      <c r="K293" s="245"/>
      <c r="L293" s="245"/>
      <c r="M293" s="245"/>
      <c r="N293" s="245"/>
      <c r="O293" s="245"/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  <c r="AA293" s="245"/>
      <c r="AB293" s="245"/>
      <c r="AC293" s="245"/>
      <c r="AD293" s="245"/>
    </row>
    <row r="294" spans="1:30" ht="15.5">
      <c r="A294" s="149"/>
      <c r="B294" s="338"/>
      <c r="C294" s="338"/>
      <c r="D294" s="338"/>
      <c r="E294" s="180" t="s">
        <v>133</v>
      </c>
      <c r="F294" s="342" t="s">
        <v>134</v>
      </c>
      <c r="G294" s="339">
        <v>200</v>
      </c>
      <c r="H294" s="340">
        <f t="shared" si="28"/>
        <v>2.7397260273972601E-2</v>
      </c>
      <c r="I294" s="195" t="s">
        <v>359</v>
      </c>
      <c r="J294" s="195"/>
      <c r="K294" s="245"/>
      <c r="L294" s="245"/>
      <c r="M294" s="245"/>
      <c r="N294" s="245"/>
      <c r="O294" s="245"/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  <c r="AA294" s="245"/>
      <c r="AB294" s="245"/>
      <c r="AC294" s="245"/>
      <c r="AD294" s="245"/>
    </row>
    <row r="295" spans="1:30" ht="15.5">
      <c r="A295" s="149"/>
      <c r="B295" s="338"/>
      <c r="C295" s="338"/>
      <c r="D295" s="338"/>
      <c r="E295" s="180" t="s">
        <v>138</v>
      </c>
      <c r="F295" s="342" t="s">
        <v>139</v>
      </c>
      <c r="G295" s="339">
        <v>500</v>
      </c>
      <c r="H295" s="340">
        <f t="shared" si="28"/>
        <v>6.8493150684931503E-2</v>
      </c>
      <c r="I295" s="195" t="s">
        <v>140</v>
      </c>
      <c r="J295" s="195"/>
      <c r="K295" s="245"/>
      <c r="L295" s="245"/>
      <c r="M295" s="245"/>
      <c r="N295" s="245"/>
      <c r="O295" s="245"/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  <c r="AA295" s="245"/>
      <c r="AB295" s="245"/>
      <c r="AC295" s="245"/>
      <c r="AD295" s="245"/>
    </row>
    <row r="296" spans="1:30" ht="15.5">
      <c r="A296" s="307"/>
      <c r="B296" s="301"/>
      <c r="C296" s="300"/>
      <c r="D296" s="284" t="s">
        <v>49</v>
      </c>
      <c r="E296" s="302"/>
      <c r="F296" s="370" t="s">
        <v>84</v>
      </c>
      <c r="G296" s="371">
        <f>SUM(G297:G303)</f>
        <v>8800</v>
      </c>
      <c r="H296" s="372">
        <f>G296/G288</f>
        <v>0.30034129692832767</v>
      </c>
      <c r="I296" s="373"/>
      <c r="J296" s="3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  <c r="AA296" s="174"/>
      <c r="AB296" s="174"/>
      <c r="AC296" s="174"/>
      <c r="AD296" s="174"/>
    </row>
    <row r="297" spans="1:30" ht="15.5">
      <c r="A297" s="149"/>
      <c r="B297" s="338"/>
      <c r="C297" s="338"/>
      <c r="D297" s="338"/>
      <c r="E297" s="180" t="s">
        <v>191</v>
      </c>
      <c r="F297" s="342" t="s">
        <v>192</v>
      </c>
      <c r="G297" s="339">
        <v>600</v>
      </c>
      <c r="H297" s="340">
        <f>G297/$G$296</f>
        <v>6.8181818181818177E-2</v>
      </c>
      <c r="I297" s="195" t="s">
        <v>355</v>
      </c>
      <c r="J297" s="195"/>
      <c r="K297" s="245"/>
      <c r="L297" s="245"/>
      <c r="M297" s="245"/>
      <c r="N297" s="245"/>
      <c r="O297" s="245"/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  <c r="AA297" s="245"/>
      <c r="AB297" s="245"/>
      <c r="AC297" s="245"/>
      <c r="AD297" s="245"/>
    </row>
    <row r="298" spans="1:30" ht="15.5">
      <c r="A298" s="149"/>
      <c r="B298" s="338"/>
      <c r="C298" s="338"/>
      <c r="D298" s="338"/>
      <c r="E298" s="180"/>
      <c r="F298" s="342"/>
      <c r="G298" s="339"/>
      <c r="H298" s="340"/>
      <c r="I298" s="195" t="s">
        <v>356</v>
      </c>
      <c r="J298" s="195"/>
      <c r="K298" s="245"/>
      <c r="L298" s="245"/>
      <c r="M298" s="245"/>
      <c r="N298" s="245"/>
      <c r="O298" s="245"/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  <c r="AA298" s="245"/>
      <c r="AB298" s="245"/>
      <c r="AC298" s="245"/>
      <c r="AD298" s="245"/>
    </row>
    <row r="299" spans="1:30" ht="15.5">
      <c r="A299" s="149"/>
      <c r="B299" s="338"/>
      <c r="C299" s="338"/>
      <c r="D299" s="338"/>
      <c r="E299" s="180" t="s">
        <v>218</v>
      </c>
      <c r="F299" s="342" t="s">
        <v>219</v>
      </c>
      <c r="G299" s="339">
        <v>6000</v>
      </c>
      <c r="H299" s="340">
        <f t="shared" ref="H299:H303" si="29">G299/$G$296</f>
        <v>0.68181818181818177</v>
      </c>
      <c r="I299" s="195" t="s">
        <v>360</v>
      </c>
      <c r="J299" s="195"/>
      <c r="K299" s="245"/>
      <c r="L299" s="245"/>
      <c r="M299" s="245"/>
      <c r="N299" s="245"/>
      <c r="O299" s="245"/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  <c r="AA299" s="245"/>
      <c r="AB299" s="245"/>
      <c r="AC299" s="245"/>
      <c r="AD299" s="245"/>
    </row>
    <row r="300" spans="1:30" ht="15.5">
      <c r="A300" s="149"/>
      <c r="B300" s="338"/>
      <c r="C300" s="338"/>
      <c r="D300" s="338"/>
      <c r="E300" s="180" t="s">
        <v>158</v>
      </c>
      <c r="F300" s="342" t="s">
        <v>159</v>
      </c>
      <c r="G300" s="339">
        <v>500</v>
      </c>
      <c r="H300" s="340">
        <f t="shared" si="29"/>
        <v>5.6818181818181816E-2</v>
      </c>
      <c r="I300" s="195" t="s">
        <v>361</v>
      </c>
      <c r="J300" s="195"/>
      <c r="K300" s="245"/>
      <c r="L300" s="245"/>
      <c r="M300" s="245"/>
      <c r="N300" s="245"/>
      <c r="O300" s="245"/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  <c r="AA300" s="245"/>
      <c r="AB300" s="245"/>
      <c r="AC300" s="245"/>
      <c r="AD300" s="245"/>
    </row>
    <row r="301" spans="1:30" ht="15.5">
      <c r="A301" s="149"/>
      <c r="B301" s="338"/>
      <c r="C301" s="338"/>
      <c r="D301" s="338"/>
      <c r="E301" s="180" t="s">
        <v>133</v>
      </c>
      <c r="F301" s="342" t="s">
        <v>134</v>
      </c>
      <c r="G301" s="339">
        <v>500</v>
      </c>
      <c r="H301" s="340">
        <f t="shared" si="29"/>
        <v>5.6818181818181816E-2</v>
      </c>
      <c r="I301" s="195" t="s">
        <v>362</v>
      </c>
      <c r="J301" s="195"/>
      <c r="K301" s="245"/>
      <c r="L301" s="245"/>
      <c r="M301" s="245"/>
      <c r="N301" s="245"/>
      <c r="O301" s="245"/>
      <c r="P301" s="245"/>
      <c r="Q301" s="245"/>
      <c r="R301" s="245"/>
      <c r="S301" s="245"/>
      <c r="T301" s="245"/>
      <c r="U301" s="245"/>
      <c r="V301" s="245"/>
      <c r="W301" s="245"/>
      <c r="X301" s="245"/>
      <c r="Y301" s="245"/>
      <c r="Z301" s="245"/>
      <c r="AA301" s="245"/>
      <c r="AB301" s="245"/>
      <c r="AC301" s="245"/>
      <c r="AD301" s="245"/>
    </row>
    <row r="302" spans="1:30" ht="15.5">
      <c r="A302" s="149"/>
      <c r="B302" s="338"/>
      <c r="C302" s="338"/>
      <c r="D302" s="338"/>
      <c r="E302" s="180" t="s">
        <v>162</v>
      </c>
      <c r="F302" s="342" t="s">
        <v>163</v>
      </c>
      <c r="G302" s="339">
        <v>700</v>
      </c>
      <c r="H302" s="340">
        <f t="shared" si="29"/>
        <v>7.9545454545454544E-2</v>
      </c>
      <c r="I302" s="195" t="s">
        <v>363</v>
      </c>
      <c r="J302" s="195"/>
      <c r="K302" s="245"/>
      <c r="L302" s="245"/>
      <c r="M302" s="245"/>
      <c r="N302" s="245"/>
      <c r="O302" s="245"/>
      <c r="P302" s="245"/>
      <c r="Q302" s="245"/>
      <c r="R302" s="245"/>
      <c r="S302" s="245"/>
      <c r="T302" s="245"/>
      <c r="U302" s="245"/>
      <c r="V302" s="245"/>
      <c r="W302" s="245"/>
      <c r="X302" s="245"/>
      <c r="Y302" s="245"/>
      <c r="Z302" s="245"/>
      <c r="AA302" s="245"/>
      <c r="AB302" s="245"/>
      <c r="AC302" s="245"/>
      <c r="AD302" s="245"/>
    </row>
    <row r="303" spans="1:30" ht="15.5">
      <c r="A303" s="149"/>
      <c r="B303" s="338"/>
      <c r="C303" s="338"/>
      <c r="D303" s="338"/>
      <c r="E303" s="180" t="s">
        <v>138</v>
      </c>
      <c r="F303" s="342" t="s">
        <v>139</v>
      </c>
      <c r="G303" s="339">
        <v>500</v>
      </c>
      <c r="H303" s="340">
        <f t="shared" si="29"/>
        <v>5.6818181818181816E-2</v>
      </c>
      <c r="I303" s="195" t="s">
        <v>140</v>
      </c>
      <c r="J303" s="195"/>
      <c r="K303" s="245"/>
      <c r="L303" s="245"/>
      <c r="M303" s="245"/>
      <c r="N303" s="245"/>
      <c r="O303" s="245"/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  <c r="AA303" s="245"/>
      <c r="AB303" s="245"/>
      <c r="AC303" s="245"/>
      <c r="AD303" s="245"/>
    </row>
    <row r="304" spans="1:30" ht="15.5">
      <c r="A304" s="307"/>
      <c r="B304" s="301"/>
      <c r="C304" s="300"/>
      <c r="D304" s="284" t="s">
        <v>53</v>
      </c>
      <c r="E304" s="302"/>
      <c r="F304" s="370" t="s">
        <v>364</v>
      </c>
      <c r="G304" s="371">
        <f>SUM(G305:G316)</f>
        <v>13200</v>
      </c>
      <c r="H304" s="372">
        <f>G304/G288</f>
        <v>0.45051194539249145</v>
      </c>
      <c r="I304" s="375" t="s">
        <v>349</v>
      </c>
      <c r="J304" s="3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  <c r="AA304" s="174"/>
      <c r="AB304" s="174"/>
      <c r="AC304" s="174"/>
      <c r="AD304" s="174"/>
    </row>
    <row r="305" spans="1:30" ht="15.5">
      <c r="A305" s="149"/>
      <c r="B305" s="338"/>
      <c r="C305" s="338"/>
      <c r="D305" s="338"/>
      <c r="E305" s="180" t="s">
        <v>305</v>
      </c>
      <c r="F305" s="342" t="s">
        <v>306</v>
      </c>
      <c r="G305" s="339">
        <v>2000</v>
      </c>
      <c r="H305" s="340">
        <f>G305/$G$304</f>
        <v>0.15151515151515152</v>
      </c>
      <c r="I305" s="195" t="s">
        <v>365</v>
      </c>
      <c r="J305" s="195"/>
      <c r="K305" s="245"/>
      <c r="L305" s="245"/>
      <c r="M305" s="245"/>
      <c r="N305" s="245"/>
      <c r="O305" s="245"/>
      <c r="P305" s="245"/>
      <c r="Q305" s="245"/>
      <c r="R305" s="245"/>
      <c r="S305" s="245"/>
      <c r="T305" s="245"/>
      <c r="U305" s="245"/>
      <c r="V305" s="245"/>
      <c r="W305" s="245"/>
      <c r="X305" s="245"/>
      <c r="Y305" s="245"/>
      <c r="Z305" s="245"/>
      <c r="AA305" s="245"/>
      <c r="AB305" s="245"/>
      <c r="AC305" s="245"/>
      <c r="AD305" s="245"/>
    </row>
    <row r="306" spans="1:30" ht="15.5">
      <c r="A306" s="149"/>
      <c r="B306" s="338"/>
      <c r="C306" s="338"/>
      <c r="D306" s="338"/>
      <c r="E306" s="180"/>
      <c r="F306" s="342"/>
      <c r="G306" s="339"/>
      <c r="H306" s="340"/>
      <c r="I306" s="195" t="s">
        <v>366</v>
      </c>
      <c r="J306" s="195"/>
      <c r="K306" s="245"/>
      <c r="L306" s="245"/>
      <c r="M306" s="245"/>
      <c r="N306" s="245"/>
      <c r="O306" s="245"/>
      <c r="P306" s="245"/>
      <c r="Q306" s="245"/>
      <c r="R306" s="245"/>
      <c r="S306" s="245"/>
      <c r="T306" s="245"/>
      <c r="U306" s="245"/>
      <c r="V306" s="245"/>
      <c r="W306" s="245"/>
      <c r="X306" s="245"/>
      <c r="Y306" s="245"/>
      <c r="Z306" s="245"/>
      <c r="AA306" s="245"/>
      <c r="AB306" s="245"/>
      <c r="AC306" s="245"/>
      <c r="AD306" s="245"/>
    </row>
    <row r="307" spans="1:30" ht="15.5">
      <c r="A307" s="149"/>
      <c r="B307" s="338"/>
      <c r="C307" s="338"/>
      <c r="D307" s="338"/>
      <c r="E307" s="180" t="s">
        <v>191</v>
      </c>
      <c r="F307" s="342" t="s">
        <v>192</v>
      </c>
      <c r="G307" s="339">
        <v>300</v>
      </c>
      <c r="H307" s="340">
        <f t="shared" ref="H307:H316" si="30">G307/$G$304</f>
        <v>2.2727272727272728E-2</v>
      </c>
      <c r="I307" s="195" t="s">
        <v>367</v>
      </c>
      <c r="J307" s="195"/>
      <c r="K307" s="245"/>
      <c r="L307" s="245"/>
      <c r="M307" s="245"/>
      <c r="N307" s="245"/>
      <c r="O307" s="245"/>
      <c r="P307" s="245"/>
      <c r="Q307" s="245"/>
      <c r="R307" s="245"/>
      <c r="S307" s="245"/>
      <c r="T307" s="245"/>
      <c r="U307" s="245"/>
      <c r="V307" s="245"/>
      <c r="W307" s="245"/>
      <c r="X307" s="245"/>
      <c r="Y307" s="245"/>
      <c r="Z307" s="245"/>
      <c r="AA307" s="245"/>
      <c r="AB307" s="245"/>
      <c r="AC307" s="245"/>
      <c r="AD307" s="245"/>
    </row>
    <row r="308" spans="1:30" ht="15.5">
      <c r="A308" s="149"/>
      <c r="B308" s="338"/>
      <c r="C308" s="338"/>
      <c r="D308" s="338"/>
      <c r="E308" s="180" t="s">
        <v>204</v>
      </c>
      <c r="F308" s="342" t="s">
        <v>205</v>
      </c>
      <c r="G308" s="339">
        <v>1800</v>
      </c>
      <c r="H308" s="340">
        <f t="shared" si="30"/>
        <v>0.13636363636363635</v>
      </c>
      <c r="I308" s="195" t="s">
        <v>368</v>
      </c>
      <c r="J308" s="195"/>
      <c r="K308" s="245"/>
      <c r="L308" s="245"/>
      <c r="M308" s="245"/>
      <c r="N308" s="245"/>
      <c r="O308" s="245"/>
      <c r="P308" s="245"/>
      <c r="Q308" s="245"/>
      <c r="R308" s="245"/>
      <c r="S308" s="245"/>
      <c r="T308" s="245"/>
      <c r="U308" s="245"/>
      <c r="V308" s="245"/>
      <c r="W308" s="245"/>
      <c r="X308" s="245"/>
      <c r="Y308" s="245"/>
      <c r="Z308" s="245"/>
      <c r="AA308" s="245"/>
      <c r="AB308" s="245"/>
      <c r="AC308" s="245"/>
      <c r="AD308" s="245"/>
    </row>
    <row r="309" spans="1:30" ht="15.5">
      <c r="A309" s="149"/>
      <c r="B309" s="338"/>
      <c r="C309" s="338"/>
      <c r="D309" s="338"/>
      <c r="E309" s="180"/>
      <c r="F309" s="342"/>
      <c r="G309" s="339"/>
      <c r="H309" s="340"/>
      <c r="I309" s="195" t="s">
        <v>369</v>
      </c>
      <c r="J309" s="195"/>
      <c r="K309" s="245"/>
      <c r="L309" s="245"/>
      <c r="M309" s="245"/>
      <c r="N309" s="245"/>
      <c r="O309" s="245"/>
      <c r="P309" s="245"/>
      <c r="Q309" s="245"/>
      <c r="R309" s="245"/>
      <c r="S309" s="245"/>
      <c r="T309" s="245"/>
      <c r="U309" s="245"/>
      <c r="V309" s="245"/>
      <c r="W309" s="245"/>
      <c r="X309" s="245"/>
      <c r="Y309" s="245"/>
      <c r="Z309" s="245"/>
      <c r="AA309" s="245"/>
      <c r="AB309" s="245"/>
      <c r="AC309" s="245"/>
      <c r="AD309" s="245"/>
    </row>
    <row r="310" spans="1:30" ht="15.5">
      <c r="A310" s="149"/>
      <c r="B310" s="338"/>
      <c r="C310" s="338"/>
      <c r="D310" s="338"/>
      <c r="E310" s="180" t="s">
        <v>218</v>
      </c>
      <c r="F310" s="342" t="s">
        <v>219</v>
      </c>
      <c r="G310" s="339">
        <v>3500</v>
      </c>
      <c r="H310" s="340">
        <f t="shared" si="30"/>
        <v>0.26515151515151514</v>
      </c>
      <c r="I310" s="195" t="s">
        <v>370</v>
      </c>
      <c r="J310" s="195"/>
      <c r="K310" s="245"/>
      <c r="L310" s="245"/>
      <c r="M310" s="245"/>
      <c r="N310" s="245"/>
      <c r="O310" s="245"/>
      <c r="P310" s="245"/>
      <c r="Q310" s="245"/>
      <c r="R310" s="245"/>
      <c r="S310" s="245"/>
      <c r="T310" s="245"/>
      <c r="U310" s="245"/>
      <c r="V310" s="245"/>
      <c r="W310" s="245"/>
      <c r="X310" s="245"/>
      <c r="Y310" s="245"/>
      <c r="Z310" s="245"/>
      <c r="AA310" s="245"/>
      <c r="AB310" s="245"/>
      <c r="AC310" s="245"/>
      <c r="AD310" s="245"/>
    </row>
    <row r="311" spans="1:30" ht="15.5">
      <c r="A311" s="149"/>
      <c r="B311" s="338"/>
      <c r="C311" s="338"/>
      <c r="D311" s="338"/>
      <c r="E311" s="180"/>
      <c r="F311" s="342"/>
      <c r="G311" s="339"/>
      <c r="H311" s="340"/>
      <c r="I311" s="195" t="s">
        <v>371</v>
      </c>
      <c r="J311" s="195"/>
      <c r="K311" s="245"/>
      <c r="L311" s="245"/>
      <c r="M311" s="245"/>
      <c r="N311" s="245"/>
      <c r="O311" s="245"/>
      <c r="P311" s="245"/>
      <c r="Q311" s="245"/>
      <c r="R311" s="245"/>
      <c r="S311" s="245"/>
      <c r="T311" s="245"/>
      <c r="U311" s="245"/>
      <c r="V311" s="245"/>
      <c r="W311" s="245"/>
      <c r="X311" s="245"/>
      <c r="Y311" s="245"/>
      <c r="Z311" s="245"/>
      <c r="AA311" s="245"/>
      <c r="AB311" s="245"/>
      <c r="AC311" s="245"/>
      <c r="AD311" s="245"/>
    </row>
    <row r="312" spans="1:30" ht="15.5">
      <c r="A312" s="149"/>
      <c r="B312" s="338"/>
      <c r="C312" s="338"/>
      <c r="D312" s="338"/>
      <c r="E312" s="180" t="s">
        <v>158</v>
      </c>
      <c r="F312" s="342" t="s">
        <v>159</v>
      </c>
      <c r="G312" s="339">
        <v>4200</v>
      </c>
      <c r="H312" s="340">
        <f t="shared" si="30"/>
        <v>0.31818181818181818</v>
      </c>
      <c r="I312" s="195" t="s">
        <v>372</v>
      </c>
      <c r="J312" s="195"/>
      <c r="K312" s="245"/>
      <c r="L312" s="245"/>
      <c r="M312" s="245"/>
      <c r="N312" s="245"/>
      <c r="O312" s="245"/>
      <c r="P312" s="245"/>
      <c r="Q312" s="245"/>
      <c r="R312" s="245"/>
      <c r="S312" s="245"/>
      <c r="T312" s="245"/>
      <c r="U312" s="245"/>
      <c r="V312" s="245"/>
      <c r="W312" s="245"/>
      <c r="X312" s="245"/>
      <c r="Y312" s="245"/>
      <c r="Z312" s="245"/>
      <c r="AA312" s="245"/>
      <c r="AB312" s="245"/>
      <c r="AC312" s="245"/>
      <c r="AD312" s="245"/>
    </row>
    <row r="313" spans="1:30" ht="15.5">
      <c r="A313" s="149"/>
      <c r="B313" s="338"/>
      <c r="C313" s="338"/>
      <c r="D313" s="338"/>
      <c r="E313" s="180"/>
      <c r="F313" s="342"/>
      <c r="G313" s="339"/>
      <c r="H313" s="340"/>
      <c r="I313" s="195" t="s">
        <v>373</v>
      </c>
      <c r="J313" s="195"/>
      <c r="K313" s="245"/>
      <c r="L313" s="245"/>
      <c r="M313" s="245"/>
      <c r="N313" s="245"/>
      <c r="O313" s="245"/>
      <c r="P313" s="245"/>
      <c r="Q313" s="245"/>
      <c r="R313" s="245"/>
      <c r="S313" s="245"/>
      <c r="T313" s="245"/>
      <c r="U313" s="245"/>
      <c r="V313" s="245"/>
      <c r="W313" s="245"/>
      <c r="X313" s="245"/>
      <c r="Y313" s="245"/>
      <c r="Z313" s="245"/>
      <c r="AA313" s="245"/>
      <c r="AB313" s="245"/>
      <c r="AC313" s="245"/>
      <c r="AD313" s="245"/>
    </row>
    <row r="314" spans="1:30" ht="15.5">
      <c r="A314" s="149"/>
      <c r="B314" s="338"/>
      <c r="C314" s="338"/>
      <c r="D314" s="338"/>
      <c r="E314" s="180" t="s">
        <v>133</v>
      </c>
      <c r="F314" s="342" t="s">
        <v>134</v>
      </c>
      <c r="G314" s="339">
        <v>200</v>
      </c>
      <c r="H314" s="340">
        <f t="shared" si="30"/>
        <v>1.5151515151515152E-2</v>
      </c>
      <c r="I314" s="195" t="s">
        <v>374</v>
      </c>
      <c r="J314" s="195"/>
      <c r="K314" s="245"/>
      <c r="L314" s="245"/>
      <c r="M314" s="245"/>
      <c r="N314" s="245"/>
      <c r="O314" s="245"/>
      <c r="P314" s="245"/>
      <c r="Q314" s="245"/>
      <c r="R314" s="245"/>
      <c r="S314" s="245"/>
      <c r="T314" s="245"/>
      <c r="U314" s="245"/>
      <c r="V314" s="245"/>
      <c r="W314" s="245"/>
      <c r="X314" s="245"/>
      <c r="Y314" s="245"/>
      <c r="Z314" s="245"/>
      <c r="AA314" s="245"/>
      <c r="AB314" s="245"/>
      <c r="AC314" s="245"/>
      <c r="AD314" s="245"/>
    </row>
    <row r="315" spans="1:30" ht="15.5">
      <c r="A315" s="149"/>
      <c r="B315" s="338"/>
      <c r="C315" s="338"/>
      <c r="D315" s="338"/>
      <c r="E315" s="180" t="s">
        <v>162</v>
      </c>
      <c r="F315" s="342" t="s">
        <v>163</v>
      </c>
      <c r="G315" s="339">
        <v>700</v>
      </c>
      <c r="H315" s="340">
        <f t="shared" si="30"/>
        <v>5.3030303030303032E-2</v>
      </c>
      <c r="I315" s="195" t="s">
        <v>363</v>
      </c>
      <c r="J315" s="195"/>
      <c r="K315" s="245"/>
      <c r="L315" s="245"/>
      <c r="M315" s="245"/>
      <c r="N315" s="245"/>
      <c r="O315" s="245"/>
      <c r="P315" s="245"/>
      <c r="Q315" s="245"/>
      <c r="R315" s="245"/>
      <c r="S315" s="245"/>
      <c r="T315" s="245"/>
      <c r="U315" s="245"/>
      <c r="V315" s="245"/>
      <c r="W315" s="245"/>
      <c r="X315" s="245"/>
      <c r="Y315" s="245"/>
      <c r="Z315" s="245"/>
      <c r="AA315" s="245"/>
      <c r="AB315" s="245"/>
      <c r="AC315" s="245"/>
      <c r="AD315" s="245"/>
    </row>
    <row r="316" spans="1:30" ht="15.5">
      <c r="A316" s="149"/>
      <c r="B316" s="338"/>
      <c r="C316" s="338"/>
      <c r="D316" s="338"/>
      <c r="E316" s="180" t="s">
        <v>138</v>
      </c>
      <c r="F316" s="342" t="s">
        <v>139</v>
      </c>
      <c r="G316" s="339">
        <v>500</v>
      </c>
      <c r="H316" s="340">
        <f t="shared" si="30"/>
        <v>3.787878787878788E-2</v>
      </c>
      <c r="I316" s="195" t="s">
        <v>140</v>
      </c>
      <c r="J316" s="195"/>
      <c r="K316" s="245"/>
      <c r="L316" s="245"/>
      <c r="M316" s="245"/>
      <c r="N316" s="245"/>
      <c r="O316" s="245"/>
      <c r="P316" s="245"/>
      <c r="Q316" s="245"/>
      <c r="R316" s="245"/>
      <c r="S316" s="245"/>
      <c r="T316" s="245"/>
      <c r="U316" s="245"/>
      <c r="V316" s="245"/>
      <c r="W316" s="245"/>
      <c r="X316" s="245"/>
      <c r="Y316" s="245"/>
      <c r="Z316" s="245"/>
      <c r="AA316" s="245"/>
      <c r="AB316" s="245"/>
      <c r="AC316" s="245"/>
      <c r="AD316" s="245"/>
    </row>
    <row r="317" spans="1:30" ht="15.5">
      <c r="A317" s="344"/>
      <c r="B317" s="329"/>
      <c r="C317" s="329" t="s">
        <v>51</v>
      </c>
      <c r="D317" s="329" t="s">
        <v>51</v>
      </c>
      <c r="E317" s="365"/>
      <c r="F317" s="333" t="s">
        <v>52</v>
      </c>
      <c r="G317" s="366">
        <f>ROUND((G270+G274+G288)/95*5,0)</f>
        <v>5524</v>
      </c>
      <c r="H317" s="358">
        <f>G317/G269</f>
        <v>5.0002715571084599E-2</v>
      </c>
      <c r="I317" s="350" t="s">
        <v>152</v>
      </c>
      <c r="J317" s="354"/>
      <c r="K317" s="350"/>
      <c r="L317" s="350"/>
      <c r="M317" s="350"/>
      <c r="N317" s="350"/>
      <c r="O317" s="350"/>
      <c r="P317" s="350"/>
      <c r="Q317" s="350"/>
      <c r="R317" s="350"/>
      <c r="S317" s="350"/>
      <c r="T317" s="350"/>
      <c r="U317" s="350"/>
      <c r="V317" s="350"/>
      <c r="W317" s="350"/>
      <c r="X317" s="350"/>
      <c r="Y317" s="350"/>
      <c r="Z317" s="350"/>
      <c r="AA317" s="350"/>
      <c r="AB317" s="350"/>
      <c r="AC317" s="350"/>
      <c r="AD317" s="350"/>
    </row>
    <row r="318" spans="1:30" ht="15.5">
      <c r="A318" s="149"/>
      <c r="B318" s="150"/>
      <c r="C318" s="150"/>
      <c r="D318" s="150"/>
      <c r="E318" s="146"/>
      <c r="F318" s="194"/>
      <c r="G318" s="263"/>
      <c r="H318" s="206"/>
      <c r="I318" s="194"/>
      <c r="J318" s="195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  <c r="AA318" s="168"/>
      <c r="AB318" s="168"/>
      <c r="AC318" s="168"/>
      <c r="AD318" s="168"/>
    </row>
    <row r="319" spans="1:30" ht="15.5">
      <c r="A319" s="149"/>
      <c r="B319" s="150"/>
      <c r="C319" s="150"/>
      <c r="D319" s="150"/>
      <c r="E319" s="146"/>
      <c r="F319" s="194"/>
      <c r="G319" s="263"/>
      <c r="H319" s="206"/>
      <c r="I319" s="194"/>
      <c r="J319" s="195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  <c r="AA319" s="168"/>
      <c r="AB319" s="168"/>
      <c r="AC319" s="168"/>
      <c r="AD319" s="168"/>
    </row>
    <row r="320" spans="1:30" ht="15.5">
      <c r="A320" s="149"/>
      <c r="B320" s="150"/>
      <c r="C320" s="150"/>
      <c r="D320" s="150"/>
      <c r="E320" s="146"/>
      <c r="F320" s="194"/>
      <c r="G320" s="263"/>
      <c r="H320" s="206"/>
      <c r="I320" s="194"/>
      <c r="J320" s="195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  <c r="AA320" s="168"/>
      <c r="AB320" s="168"/>
      <c r="AC320" s="168"/>
      <c r="AD320" s="168"/>
    </row>
    <row r="321" spans="1:30" ht="15.5">
      <c r="A321" s="207"/>
      <c r="B321" s="208" t="s">
        <v>26</v>
      </c>
      <c r="C321" s="208" t="s">
        <v>47</v>
      </c>
      <c r="D321" s="208" t="s">
        <v>47</v>
      </c>
      <c r="E321" s="209"/>
      <c r="F321" s="210" t="s">
        <v>27</v>
      </c>
      <c r="G321" s="255">
        <f>G322+G324+G328+G332+G336+G343</f>
        <v>88337</v>
      </c>
      <c r="H321" s="212">
        <f>G321/$G$8</f>
        <v>5.6442326530785188E-2</v>
      </c>
      <c r="I321" s="210"/>
      <c r="J321" s="213"/>
      <c r="K321" s="214"/>
      <c r="L321" s="214"/>
      <c r="M321" s="214"/>
      <c r="N321" s="214"/>
      <c r="O321" s="214"/>
      <c r="P321" s="214"/>
      <c r="Q321" s="214"/>
      <c r="R321" s="214"/>
      <c r="S321" s="214"/>
      <c r="T321" s="214"/>
      <c r="U321" s="214"/>
      <c r="V321" s="214"/>
      <c r="W321" s="214"/>
      <c r="X321" s="214"/>
      <c r="Y321" s="214"/>
      <c r="Z321" s="214"/>
      <c r="AA321" s="214"/>
      <c r="AB321" s="214"/>
      <c r="AC321" s="214"/>
      <c r="AD321" s="214"/>
    </row>
    <row r="322" spans="1:30" ht="15.5">
      <c r="A322" s="149"/>
      <c r="B322" s="234"/>
      <c r="C322" s="234" t="s">
        <v>47</v>
      </c>
      <c r="D322" s="234" t="s">
        <v>46</v>
      </c>
      <c r="E322" s="243"/>
      <c r="F322" s="221" t="s">
        <v>48</v>
      </c>
      <c r="G322" s="256">
        <f>G323</f>
        <v>52200</v>
      </c>
      <c r="H322" s="220">
        <f>G322/$G$321</f>
        <v>0.59091886751870681</v>
      </c>
      <c r="I322" s="221"/>
      <c r="J322" s="244"/>
      <c r="K322" s="245"/>
      <c r="L322" s="245"/>
      <c r="M322" s="245"/>
      <c r="N322" s="245"/>
      <c r="O322" s="245"/>
      <c r="P322" s="245"/>
      <c r="Q322" s="245"/>
      <c r="R322" s="245"/>
      <c r="S322" s="245"/>
      <c r="T322" s="245"/>
      <c r="U322" s="245"/>
      <c r="V322" s="245"/>
      <c r="W322" s="245"/>
      <c r="X322" s="245"/>
      <c r="Y322" s="245"/>
      <c r="Z322" s="245"/>
      <c r="AA322" s="245"/>
      <c r="AB322" s="245"/>
      <c r="AC322" s="245"/>
      <c r="AD322" s="245"/>
    </row>
    <row r="323" spans="1:30" ht="15.5">
      <c r="A323" s="149"/>
      <c r="B323" s="150"/>
      <c r="C323" s="150"/>
      <c r="D323" s="150"/>
      <c r="E323" s="146" t="s">
        <v>149</v>
      </c>
      <c r="F323" s="194" t="s">
        <v>179</v>
      </c>
      <c r="G323" s="259">
        <v>52200</v>
      </c>
      <c r="H323" s="247">
        <f>G323/$G$322</f>
        <v>1</v>
      </c>
      <c r="I323" s="194" t="s">
        <v>375</v>
      </c>
      <c r="J323" s="195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  <c r="AA323" s="168"/>
      <c r="AB323" s="168"/>
      <c r="AC323" s="168"/>
      <c r="AD323" s="168"/>
    </row>
    <row r="324" spans="1:30" ht="15.5">
      <c r="A324" s="149"/>
      <c r="B324" s="234"/>
      <c r="C324" s="234" t="s">
        <v>47</v>
      </c>
      <c r="D324" s="234" t="s">
        <v>49</v>
      </c>
      <c r="E324" s="243"/>
      <c r="F324" s="377" t="s">
        <v>121</v>
      </c>
      <c r="G324" s="256">
        <f>G325</f>
        <v>5200</v>
      </c>
      <c r="H324" s="220">
        <f>G324/$G$321</f>
        <v>5.8865481055503356E-2</v>
      </c>
      <c r="I324" s="221"/>
      <c r="J324" s="244"/>
      <c r="K324" s="245"/>
      <c r="L324" s="245"/>
      <c r="M324" s="245"/>
      <c r="N324" s="245"/>
      <c r="O324" s="245"/>
      <c r="P324" s="245"/>
      <c r="Q324" s="245"/>
      <c r="R324" s="245"/>
      <c r="S324" s="245"/>
      <c r="T324" s="245"/>
      <c r="U324" s="245"/>
      <c r="V324" s="245"/>
      <c r="W324" s="245"/>
      <c r="X324" s="245"/>
      <c r="Y324" s="245"/>
      <c r="Z324" s="245"/>
      <c r="AA324" s="245"/>
      <c r="AB324" s="245"/>
      <c r="AC324" s="245"/>
      <c r="AD324" s="245"/>
    </row>
    <row r="325" spans="1:30" ht="15.5">
      <c r="A325" s="149"/>
      <c r="B325" s="150"/>
      <c r="C325" s="150"/>
      <c r="D325" s="150"/>
      <c r="E325" s="146" t="s">
        <v>126</v>
      </c>
      <c r="F325" s="194" t="s">
        <v>127</v>
      </c>
      <c r="G325" s="378">
        <v>5200</v>
      </c>
      <c r="H325" s="247">
        <f>G325/$G$324</f>
        <v>1</v>
      </c>
      <c r="I325" s="194" t="s">
        <v>376</v>
      </c>
      <c r="J325" s="195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  <c r="AA325" s="168"/>
      <c r="AB325" s="168"/>
      <c r="AC325" s="168"/>
      <c r="AD325" s="168"/>
    </row>
    <row r="326" spans="1:30" ht="15.5">
      <c r="A326" s="149"/>
      <c r="B326" s="150"/>
      <c r="C326" s="150"/>
      <c r="D326" s="150"/>
      <c r="E326" s="146"/>
      <c r="F326" s="194"/>
      <c r="G326" s="263"/>
      <c r="H326" s="247"/>
      <c r="I326" s="194" t="s">
        <v>377</v>
      </c>
      <c r="J326" s="195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  <c r="AA326" s="168"/>
      <c r="AB326" s="168"/>
      <c r="AC326" s="168"/>
      <c r="AD326" s="168"/>
    </row>
    <row r="327" spans="1:30" ht="15.5">
      <c r="A327" s="149"/>
      <c r="B327" s="150"/>
      <c r="C327" s="150"/>
      <c r="D327" s="150"/>
      <c r="E327" s="146"/>
      <c r="F327" s="194"/>
      <c r="G327" s="263"/>
      <c r="H327" s="247"/>
      <c r="I327" s="194" t="s">
        <v>378</v>
      </c>
      <c r="J327" s="195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  <c r="AA327" s="168"/>
      <c r="AB327" s="168"/>
      <c r="AC327" s="168"/>
      <c r="AD327" s="168"/>
    </row>
    <row r="328" spans="1:30" ht="15.5">
      <c r="A328" s="149"/>
      <c r="B328" s="234"/>
      <c r="C328" s="234" t="s">
        <v>47</v>
      </c>
      <c r="D328" s="234" t="s">
        <v>53</v>
      </c>
      <c r="E328" s="243"/>
      <c r="F328" s="377" t="s">
        <v>379</v>
      </c>
      <c r="G328" s="256">
        <v>4800</v>
      </c>
      <c r="H328" s="220">
        <f>G328/$G$321</f>
        <v>5.4337367128156948E-2</v>
      </c>
      <c r="I328" s="221"/>
      <c r="J328" s="244"/>
      <c r="K328" s="245"/>
      <c r="L328" s="245"/>
      <c r="M328" s="245"/>
      <c r="N328" s="245"/>
      <c r="O328" s="245"/>
      <c r="P328" s="245"/>
      <c r="Q328" s="245"/>
      <c r="R328" s="245"/>
      <c r="S328" s="245"/>
      <c r="T328" s="245"/>
      <c r="U328" s="245"/>
      <c r="V328" s="245"/>
      <c r="W328" s="245"/>
      <c r="X328" s="245"/>
      <c r="Y328" s="245"/>
      <c r="Z328" s="245"/>
      <c r="AA328" s="245"/>
      <c r="AB328" s="245"/>
      <c r="AC328" s="245"/>
      <c r="AD328" s="245"/>
    </row>
    <row r="329" spans="1:30" ht="15.5">
      <c r="A329" s="149"/>
      <c r="B329" s="150"/>
      <c r="C329" s="150"/>
      <c r="D329" s="150"/>
      <c r="E329" s="146" t="s">
        <v>126</v>
      </c>
      <c r="F329" s="194" t="s">
        <v>127</v>
      </c>
      <c r="G329" s="263">
        <v>4800</v>
      </c>
      <c r="H329" s="247">
        <f>G329/G328</f>
        <v>1</v>
      </c>
      <c r="I329" s="194" t="s">
        <v>380</v>
      </c>
      <c r="J329" s="195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  <c r="AA329" s="168"/>
      <c r="AB329" s="168"/>
      <c r="AC329" s="168"/>
      <c r="AD329" s="168"/>
    </row>
    <row r="330" spans="1:30" ht="15.5">
      <c r="A330" s="149"/>
      <c r="B330" s="150"/>
      <c r="C330" s="150"/>
      <c r="D330" s="150"/>
      <c r="E330" s="146"/>
      <c r="F330" s="194"/>
      <c r="G330" s="263"/>
      <c r="H330" s="247"/>
      <c r="I330" s="194" t="s">
        <v>381</v>
      </c>
      <c r="J330" s="195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  <c r="AA330" s="168"/>
      <c r="AB330" s="168"/>
      <c r="AC330" s="168"/>
      <c r="AD330" s="168"/>
    </row>
    <row r="331" spans="1:30" ht="15.5">
      <c r="A331" s="149"/>
      <c r="B331" s="150"/>
      <c r="C331" s="150"/>
      <c r="D331" s="150"/>
      <c r="E331" s="146"/>
      <c r="F331" s="194"/>
      <c r="G331" s="263"/>
      <c r="H331" s="247"/>
      <c r="I331" s="194" t="s">
        <v>382</v>
      </c>
      <c r="J331" s="195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  <c r="AA331" s="168"/>
      <c r="AB331" s="168"/>
      <c r="AC331" s="168"/>
      <c r="AD331" s="168"/>
    </row>
    <row r="332" spans="1:30" ht="21" customHeight="1">
      <c r="A332" s="149"/>
      <c r="B332" s="234"/>
      <c r="C332" s="234" t="s">
        <v>47</v>
      </c>
      <c r="D332" s="234" t="s">
        <v>54</v>
      </c>
      <c r="E332" s="243"/>
      <c r="F332" s="221" t="s">
        <v>383</v>
      </c>
      <c r="G332" s="256">
        <f>G333</f>
        <v>6400</v>
      </c>
      <c r="H332" s="220">
        <f>G332/$G$321</f>
        <v>7.2449822837542588E-2</v>
      </c>
      <c r="I332" s="221"/>
      <c r="J332" s="245"/>
      <c r="K332" s="245"/>
      <c r="L332" s="245"/>
      <c r="M332" s="245"/>
      <c r="N332" s="245"/>
      <c r="O332" s="245"/>
      <c r="P332" s="245"/>
      <c r="Q332" s="245"/>
      <c r="R332" s="245"/>
      <c r="S332" s="245"/>
      <c r="T332" s="245"/>
      <c r="U332" s="245"/>
      <c r="V332" s="245"/>
      <c r="W332" s="245"/>
      <c r="X332" s="245"/>
      <c r="Y332" s="245"/>
      <c r="Z332" s="245"/>
      <c r="AA332" s="245"/>
      <c r="AB332" s="245"/>
      <c r="AC332" s="245"/>
      <c r="AD332" s="245"/>
    </row>
    <row r="333" spans="1:30" ht="15.5">
      <c r="A333" s="149"/>
      <c r="B333" s="338"/>
      <c r="C333" s="338"/>
      <c r="D333" s="338"/>
      <c r="E333" s="180" t="s">
        <v>126</v>
      </c>
      <c r="F333" s="342" t="s">
        <v>127</v>
      </c>
      <c r="G333" s="339">
        <v>6400</v>
      </c>
      <c r="H333" s="340">
        <f>G333/G332</f>
        <v>1</v>
      </c>
      <c r="I333" s="195" t="s">
        <v>384</v>
      </c>
      <c r="J333" s="195"/>
      <c r="K333" s="245"/>
      <c r="L333" s="245"/>
      <c r="M333" s="245"/>
      <c r="N333" s="245"/>
      <c r="O333" s="245"/>
      <c r="P333" s="245"/>
      <c r="Q333" s="245"/>
      <c r="R333" s="245"/>
      <c r="S333" s="245"/>
      <c r="T333" s="245"/>
      <c r="U333" s="245"/>
      <c r="V333" s="245"/>
      <c r="W333" s="245"/>
      <c r="X333" s="245"/>
      <c r="Y333" s="245"/>
      <c r="Z333" s="245"/>
      <c r="AA333" s="245"/>
      <c r="AB333" s="245"/>
      <c r="AC333" s="245"/>
      <c r="AD333" s="245"/>
    </row>
    <row r="334" spans="1:30" ht="15.5">
      <c r="A334" s="149"/>
      <c r="B334" s="338"/>
      <c r="C334" s="338"/>
      <c r="D334" s="338"/>
      <c r="E334" s="180"/>
      <c r="F334" s="342"/>
      <c r="G334" s="339"/>
      <c r="H334" s="340"/>
      <c r="I334" s="195" t="s">
        <v>385</v>
      </c>
      <c r="J334" s="195"/>
      <c r="K334" s="245"/>
      <c r="L334" s="245"/>
      <c r="M334" s="245"/>
      <c r="N334" s="245"/>
      <c r="O334" s="245"/>
      <c r="P334" s="245"/>
      <c r="Q334" s="245"/>
      <c r="R334" s="245"/>
      <c r="S334" s="245"/>
      <c r="T334" s="245"/>
      <c r="U334" s="245"/>
      <c r="V334" s="245"/>
      <c r="W334" s="245"/>
      <c r="X334" s="245"/>
      <c r="Y334" s="245"/>
      <c r="Z334" s="245"/>
      <c r="AA334" s="245"/>
      <c r="AB334" s="245"/>
      <c r="AC334" s="245"/>
      <c r="AD334" s="245"/>
    </row>
    <row r="335" spans="1:30" ht="15.5">
      <c r="A335" s="149"/>
      <c r="B335" s="338"/>
      <c r="C335" s="338"/>
      <c r="D335" s="338"/>
      <c r="E335" s="180"/>
      <c r="F335" s="342"/>
      <c r="G335" s="339"/>
      <c r="H335" s="340"/>
      <c r="I335" s="195" t="s">
        <v>382</v>
      </c>
      <c r="J335" s="195"/>
      <c r="K335" s="245"/>
      <c r="L335" s="245"/>
      <c r="M335" s="245"/>
      <c r="N335" s="245"/>
      <c r="O335" s="245"/>
      <c r="P335" s="245"/>
      <c r="Q335" s="245"/>
      <c r="R335" s="245"/>
      <c r="S335" s="245"/>
      <c r="T335" s="245"/>
      <c r="U335" s="245"/>
      <c r="V335" s="245"/>
      <c r="W335" s="245"/>
      <c r="X335" s="245"/>
      <c r="Y335" s="245"/>
      <c r="Z335" s="245"/>
      <c r="AA335" s="245"/>
      <c r="AB335" s="245"/>
      <c r="AC335" s="245"/>
      <c r="AD335" s="245"/>
    </row>
    <row r="336" spans="1:30" ht="21" customHeight="1">
      <c r="A336" s="149"/>
      <c r="B336" s="234"/>
      <c r="C336" s="234" t="s">
        <v>47</v>
      </c>
      <c r="D336" s="234" t="s">
        <v>56</v>
      </c>
      <c r="E336" s="243"/>
      <c r="F336" s="221" t="s">
        <v>386</v>
      </c>
      <c r="G336" s="256">
        <v>15320</v>
      </c>
      <c r="H336" s="220">
        <f>G336/$G$321</f>
        <v>0.17342676341736757</v>
      </c>
      <c r="I336" s="221"/>
      <c r="J336" s="496"/>
      <c r="K336" s="245"/>
      <c r="L336" s="245"/>
      <c r="M336" s="245"/>
      <c r="N336" s="245"/>
      <c r="O336" s="245"/>
      <c r="P336" s="245"/>
      <c r="Q336" s="245"/>
      <c r="R336" s="245"/>
      <c r="S336" s="245"/>
      <c r="T336" s="245"/>
      <c r="U336" s="245"/>
      <c r="V336" s="245"/>
      <c r="W336" s="245"/>
      <c r="X336" s="245"/>
      <c r="Y336" s="245"/>
      <c r="Z336" s="245"/>
      <c r="AA336" s="245"/>
      <c r="AB336" s="245"/>
      <c r="AC336" s="245"/>
      <c r="AD336" s="245"/>
    </row>
    <row r="337" spans="1:30" ht="15.5">
      <c r="A337" s="149"/>
      <c r="B337" s="338"/>
      <c r="C337" s="338"/>
      <c r="D337" s="338"/>
      <c r="E337" s="180" t="s">
        <v>126</v>
      </c>
      <c r="F337" s="342" t="s">
        <v>127</v>
      </c>
      <c r="G337" s="339">
        <v>12800</v>
      </c>
      <c r="H337" s="340">
        <f>G337/G336</f>
        <v>0.835509138381201</v>
      </c>
      <c r="I337" s="195" t="s">
        <v>387</v>
      </c>
      <c r="J337" s="195"/>
      <c r="K337" s="245"/>
      <c r="L337" s="245"/>
      <c r="M337" s="245"/>
      <c r="N337" s="245"/>
      <c r="O337" s="245"/>
      <c r="P337" s="245"/>
      <c r="Q337" s="245"/>
      <c r="R337" s="245"/>
      <c r="S337" s="245"/>
      <c r="T337" s="245"/>
      <c r="U337" s="245"/>
      <c r="V337" s="245"/>
      <c r="W337" s="245"/>
      <c r="X337" s="245"/>
      <c r="Y337" s="245"/>
      <c r="Z337" s="245"/>
      <c r="AA337" s="245"/>
      <c r="AB337" s="245"/>
      <c r="AC337" s="245"/>
      <c r="AD337" s="245"/>
    </row>
    <row r="338" spans="1:30" ht="15.5">
      <c r="A338" s="149"/>
      <c r="B338" s="338"/>
      <c r="C338" s="338"/>
      <c r="D338" s="338"/>
      <c r="E338" s="180"/>
      <c r="F338" s="342"/>
      <c r="G338" s="339"/>
      <c r="H338" s="340"/>
      <c r="I338" s="195" t="s">
        <v>388</v>
      </c>
      <c r="J338" s="195"/>
      <c r="K338" s="245"/>
      <c r="L338" s="245"/>
      <c r="M338" s="245"/>
      <c r="N338" s="245"/>
      <c r="O338" s="245"/>
      <c r="P338" s="245"/>
      <c r="Q338" s="245"/>
      <c r="R338" s="245"/>
      <c r="S338" s="245"/>
      <c r="T338" s="245"/>
      <c r="U338" s="245"/>
      <c r="V338" s="245"/>
      <c r="W338" s="245"/>
      <c r="X338" s="245"/>
      <c r="Y338" s="245"/>
      <c r="Z338" s="245"/>
      <c r="AA338" s="245"/>
      <c r="AB338" s="245"/>
      <c r="AC338" s="245"/>
      <c r="AD338" s="245"/>
    </row>
    <row r="339" spans="1:30" ht="15.5">
      <c r="A339" s="149"/>
      <c r="B339" s="338"/>
      <c r="C339" s="338"/>
      <c r="D339" s="338"/>
      <c r="E339" s="180"/>
      <c r="F339" s="342"/>
      <c r="G339" s="339"/>
      <c r="H339" s="340"/>
      <c r="I339" s="195" t="s">
        <v>382</v>
      </c>
      <c r="J339" s="195"/>
      <c r="K339" s="245"/>
      <c r="L339" s="245"/>
      <c r="M339" s="245"/>
      <c r="N339" s="245"/>
      <c r="O339" s="245"/>
      <c r="P339" s="245"/>
      <c r="Q339" s="245"/>
      <c r="R339" s="245"/>
      <c r="S339" s="245"/>
      <c r="T339" s="245"/>
      <c r="U339" s="245"/>
      <c r="V339" s="245"/>
      <c r="W339" s="245"/>
      <c r="X339" s="245"/>
      <c r="Y339" s="245"/>
      <c r="Z339" s="245"/>
      <c r="AA339" s="245"/>
      <c r="AB339" s="245"/>
      <c r="AC339" s="245"/>
      <c r="AD339" s="245"/>
    </row>
    <row r="340" spans="1:30" ht="15.5">
      <c r="A340" s="149"/>
      <c r="B340" s="338"/>
      <c r="C340" s="338"/>
      <c r="D340" s="338"/>
      <c r="E340" s="180" t="s">
        <v>149</v>
      </c>
      <c r="F340" s="342" t="s">
        <v>179</v>
      </c>
      <c r="G340" s="339">
        <v>2520</v>
      </c>
      <c r="H340" s="340">
        <f>G340/G336</f>
        <v>0.16449086161879894</v>
      </c>
      <c r="I340" s="195" t="s">
        <v>389</v>
      </c>
      <c r="J340" s="195"/>
      <c r="K340" s="245"/>
      <c r="L340" s="245"/>
      <c r="M340" s="245"/>
      <c r="N340" s="245"/>
      <c r="O340" s="245"/>
      <c r="P340" s="245"/>
      <c r="Q340" s="245"/>
      <c r="R340" s="245"/>
      <c r="S340" s="245"/>
      <c r="T340" s="245"/>
      <c r="U340" s="245"/>
      <c r="V340" s="245"/>
      <c r="W340" s="245"/>
      <c r="X340" s="245"/>
      <c r="Y340" s="245"/>
      <c r="Z340" s="245"/>
      <c r="AA340" s="245"/>
      <c r="AB340" s="245"/>
      <c r="AC340" s="245"/>
      <c r="AD340" s="245"/>
    </row>
    <row r="341" spans="1:30" ht="15.5">
      <c r="A341" s="149"/>
      <c r="B341" s="338"/>
      <c r="C341" s="338"/>
      <c r="D341" s="338"/>
      <c r="E341" s="180"/>
      <c r="F341" s="342"/>
      <c r="G341" s="339"/>
      <c r="H341" s="340"/>
      <c r="I341" s="195"/>
      <c r="J341" s="195"/>
      <c r="K341" s="245"/>
      <c r="L341" s="245"/>
      <c r="M341" s="245"/>
      <c r="N341" s="245"/>
      <c r="O341" s="245"/>
      <c r="P341" s="245"/>
      <c r="Q341" s="245"/>
      <c r="R341" s="245"/>
      <c r="S341" s="245"/>
      <c r="T341" s="245"/>
      <c r="U341" s="245"/>
      <c r="V341" s="245"/>
      <c r="W341" s="245"/>
      <c r="X341" s="245"/>
      <c r="Y341" s="245"/>
      <c r="Z341" s="245"/>
      <c r="AA341" s="245"/>
      <c r="AB341" s="245"/>
      <c r="AC341" s="245"/>
      <c r="AD341" s="245"/>
    </row>
    <row r="342" spans="1:30" ht="15.5">
      <c r="A342" s="149"/>
      <c r="B342" s="338"/>
      <c r="C342" s="338"/>
      <c r="D342" s="338"/>
      <c r="E342" s="180"/>
      <c r="F342" s="342"/>
      <c r="G342" s="339"/>
      <c r="H342" s="340"/>
      <c r="I342" s="195"/>
      <c r="J342" s="195"/>
      <c r="K342" s="245"/>
      <c r="L342" s="245"/>
      <c r="M342" s="245"/>
      <c r="N342" s="245"/>
      <c r="O342" s="245"/>
      <c r="P342" s="245"/>
      <c r="Q342" s="245"/>
      <c r="R342" s="245"/>
      <c r="S342" s="245"/>
      <c r="T342" s="245"/>
      <c r="U342" s="245"/>
      <c r="V342" s="245"/>
      <c r="W342" s="245"/>
      <c r="X342" s="245"/>
      <c r="Y342" s="245"/>
      <c r="Z342" s="245"/>
      <c r="AA342" s="245"/>
      <c r="AB342" s="245"/>
      <c r="AC342" s="245"/>
      <c r="AD342" s="245"/>
    </row>
    <row r="343" spans="1:30" ht="21" customHeight="1">
      <c r="A343" s="149"/>
      <c r="B343" s="234"/>
      <c r="C343" s="234" t="s">
        <v>51</v>
      </c>
      <c r="D343" s="234" t="s">
        <v>51</v>
      </c>
      <c r="E343" s="243"/>
      <c r="F343" s="221" t="s">
        <v>52</v>
      </c>
      <c r="G343" s="256">
        <f>ROUND((G322+G324+G328+G332+G336)/95*5,0)</f>
        <v>4417</v>
      </c>
      <c r="H343" s="324">
        <f>G343/G321</f>
        <v>5.0001698042722753E-2</v>
      </c>
      <c r="I343" s="221" t="s">
        <v>152</v>
      </c>
      <c r="J343" s="245"/>
      <c r="K343" s="245"/>
      <c r="L343" s="245"/>
      <c r="M343" s="245"/>
      <c r="N343" s="245"/>
      <c r="O343" s="245"/>
      <c r="P343" s="245"/>
      <c r="Q343" s="245"/>
      <c r="R343" s="245"/>
      <c r="S343" s="245"/>
      <c r="T343" s="245"/>
      <c r="U343" s="245"/>
      <c r="V343" s="245"/>
      <c r="W343" s="245"/>
      <c r="X343" s="245"/>
      <c r="Y343" s="245"/>
      <c r="Z343" s="245"/>
      <c r="AA343" s="245"/>
      <c r="AB343" s="245"/>
      <c r="AC343" s="245"/>
      <c r="AD343" s="245"/>
    </row>
    <row r="344" spans="1:30" ht="15.5">
      <c r="A344" s="149"/>
      <c r="B344" s="150"/>
      <c r="C344" s="150"/>
      <c r="D344" s="150"/>
      <c r="E344" s="146"/>
      <c r="F344" s="194"/>
      <c r="G344" s="263"/>
      <c r="H344" s="282"/>
      <c r="I344" s="379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  <c r="AA344" s="168"/>
      <c r="AB344" s="168"/>
      <c r="AC344" s="168"/>
      <c r="AD344" s="168"/>
    </row>
    <row r="345" spans="1:30" ht="15.5">
      <c r="A345" s="149"/>
      <c r="B345" s="315"/>
      <c r="C345" s="315"/>
      <c r="D345" s="315"/>
      <c r="E345" s="316"/>
      <c r="F345" s="289"/>
      <c r="G345" s="266"/>
      <c r="H345" s="380"/>
      <c r="I345" s="289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  <c r="AA345" s="168"/>
      <c r="AB345" s="168"/>
      <c r="AC345" s="168"/>
      <c r="AD345" s="168"/>
    </row>
    <row r="346" spans="1:30" ht="15.5">
      <c r="A346" s="149"/>
      <c r="B346" s="150"/>
      <c r="C346" s="150"/>
      <c r="D346" s="150"/>
      <c r="E346" s="146"/>
      <c r="F346" s="194"/>
      <c r="G346" s="263"/>
      <c r="H346" s="247"/>
      <c r="I346" s="194"/>
      <c r="J346" s="195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  <c r="AA346" s="168"/>
      <c r="AB346" s="168"/>
      <c r="AC346" s="168"/>
      <c r="AD346" s="168"/>
    </row>
    <row r="347" spans="1:30" ht="15.5">
      <c r="A347" s="196" t="s">
        <v>49</v>
      </c>
      <c r="B347" s="197" t="s">
        <v>47</v>
      </c>
      <c r="C347" s="197" t="s">
        <v>47</v>
      </c>
      <c r="D347" s="197" t="s">
        <v>47</v>
      </c>
      <c r="E347" s="198"/>
      <c r="F347" s="199" t="s">
        <v>28</v>
      </c>
      <c r="G347" s="381">
        <f>G348</f>
        <v>184316</v>
      </c>
      <c r="H347" s="201">
        <f>G347/$G$6</f>
        <v>9.996755482780223E-2</v>
      </c>
      <c r="I347" s="199"/>
      <c r="J347" s="203"/>
      <c r="K347" s="204"/>
      <c r="L347" s="204"/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</row>
    <row r="348" spans="1:30" ht="15.5">
      <c r="A348" s="207"/>
      <c r="B348" s="208" t="s">
        <v>46</v>
      </c>
      <c r="C348" s="208" t="s">
        <v>47</v>
      </c>
      <c r="D348" s="208" t="s">
        <v>47</v>
      </c>
      <c r="E348" s="209"/>
      <c r="F348" s="210" t="s">
        <v>29</v>
      </c>
      <c r="G348" s="255">
        <f>G349+G368+G377+G384+G391</f>
        <v>184316</v>
      </c>
      <c r="H348" s="212">
        <f>G348/$G$347</f>
        <v>1</v>
      </c>
      <c r="I348" s="210"/>
      <c r="J348" s="213"/>
      <c r="K348" s="214"/>
      <c r="L348" s="214"/>
      <c r="M348" s="214"/>
      <c r="N348" s="214"/>
      <c r="O348" s="214"/>
      <c r="P348" s="214"/>
      <c r="Q348" s="214"/>
      <c r="R348" s="214"/>
      <c r="S348" s="214"/>
      <c r="T348" s="214"/>
      <c r="U348" s="214"/>
      <c r="V348" s="214"/>
      <c r="W348" s="214"/>
      <c r="X348" s="214"/>
      <c r="Y348" s="214"/>
      <c r="Z348" s="214"/>
      <c r="AA348" s="214"/>
      <c r="AB348" s="214"/>
      <c r="AC348" s="214"/>
      <c r="AD348" s="214"/>
    </row>
    <row r="349" spans="1:30" ht="15.5">
      <c r="A349" s="149"/>
      <c r="B349" s="234"/>
      <c r="C349" s="234" t="s">
        <v>47</v>
      </c>
      <c r="D349" s="234" t="s">
        <v>46</v>
      </c>
      <c r="E349" s="243"/>
      <c r="F349" s="221" t="s">
        <v>86</v>
      </c>
      <c r="G349" s="256">
        <f>SUM(G350:G367)</f>
        <v>119840</v>
      </c>
      <c r="H349" s="220">
        <f>G349/$G$348</f>
        <v>0.65018772108769718</v>
      </c>
      <c r="I349" s="221"/>
      <c r="J349" s="244"/>
      <c r="K349" s="245"/>
      <c r="L349" s="245"/>
      <c r="M349" s="245"/>
      <c r="N349" s="245"/>
      <c r="O349" s="245"/>
      <c r="P349" s="245"/>
      <c r="Q349" s="245"/>
      <c r="R349" s="245"/>
      <c r="S349" s="245"/>
      <c r="T349" s="245"/>
      <c r="U349" s="245"/>
      <c r="V349" s="245"/>
      <c r="W349" s="245"/>
      <c r="X349" s="245"/>
      <c r="Y349" s="245"/>
      <c r="Z349" s="245"/>
      <c r="AA349" s="245"/>
      <c r="AB349" s="245"/>
      <c r="AC349" s="245"/>
      <c r="AD349" s="245"/>
    </row>
    <row r="350" spans="1:30" ht="15.5">
      <c r="A350" s="149"/>
      <c r="B350" s="150"/>
      <c r="C350" s="315"/>
      <c r="D350" s="315"/>
      <c r="E350" s="315" t="s">
        <v>126</v>
      </c>
      <c r="F350" s="382" t="s">
        <v>127</v>
      </c>
      <c r="G350" s="376">
        <v>41360</v>
      </c>
      <c r="H350" s="340">
        <f>G350/$G$349</f>
        <v>0.34512683578104136</v>
      </c>
      <c r="I350" s="380" t="s">
        <v>390</v>
      </c>
      <c r="J350" s="289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  <c r="AA350" s="168"/>
      <c r="AB350" s="168"/>
      <c r="AC350" s="168"/>
      <c r="AD350" s="168"/>
    </row>
    <row r="351" spans="1:30" ht="15.5">
      <c r="A351" s="149"/>
      <c r="B351" s="150"/>
      <c r="C351" s="315"/>
      <c r="D351" s="315"/>
      <c r="E351" s="315"/>
      <c r="F351" s="382"/>
      <c r="G351" s="289"/>
      <c r="H351" s="340"/>
      <c r="I351" s="380" t="s">
        <v>391</v>
      </c>
      <c r="J351" s="289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  <c r="AA351" s="168"/>
      <c r="AB351" s="168"/>
      <c r="AC351" s="168"/>
      <c r="AD351" s="168"/>
    </row>
    <row r="352" spans="1:30" ht="15.5">
      <c r="A352" s="149"/>
      <c r="B352" s="150"/>
      <c r="C352" s="315"/>
      <c r="D352" s="315"/>
      <c r="E352" s="315"/>
      <c r="F352" s="382"/>
      <c r="G352" s="289"/>
      <c r="H352" s="340"/>
      <c r="I352" s="380" t="s">
        <v>392</v>
      </c>
      <c r="J352" s="289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  <c r="AA352" s="168"/>
      <c r="AB352" s="168"/>
      <c r="AC352" s="168"/>
      <c r="AD352" s="168"/>
    </row>
    <row r="353" spans="1:30" ht="15.5">
      <c r="A353" s="149"/>
      <c r="B353" s="150"/>
      <c r="C353" s="315"/>
      <c r="D353" s="315"/>
      <c r="E353" s="315"/>
      <c r="F353" s="382"/>
      <c r="G353" s="289"/>
      <c r="H353" s="340"/>
      <c r="I353" s="380" t="s">
        <v>393</v>
      </c>
      <c r="J353" s="289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  <c r="AA353" s="168"/>
      <c r="AB353" s="168"/>
      <c r="AC353" s="168"/>
      <c r="AD353" s="168"/>
    </row>
    <row r="354" spans="1:30" ht="15.5">
      <c r="A354" s="149"/>
      <c r="B354" s="150"/>
      <c r="C354" s="315"/>
      <c r="D354" s="315"/>
      <c r="E354" s="315"/>
      <c r="F354" s="382"/>
      <c r="G354" s="289"/>
      <c r="H354" s="340"/>
      <c r="I354" s="380" t="s">
        <v>394</v>
      </c>
      <c r="J354" s="289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  <c r="AA354" s="168"/>
      <c r="AB354" s="168"/>
      <c r="AC354" s="168"/>
      <c r="AD354" s="168"/>
    </row>
    <row r="355" spans="1:30" ht="15.5">
      <c r="A355" s="149"/>
      <c r="B355" s="150"/>
      <c r="C355" s="315"/>
      <c r="D355" s="315"/>
      <c r="E355" s="315"/>
      <c r="F355" s="382"/>
      <c r="G355" s="289"/>
      <c r="H355" s="340"/>
      <c r="I355" s="380" t="s">
        <v>395</v>
      </c>
      <c r="J355" s="289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  <c r="AA355" s="168"/>
      <c r="AB355" s="168"/>
      <c r="AC355" s="168"/>
      <c r="AD355" s="168"/>
    </row>
    <row r="356" spans="1:30" ht="15.5">
      <c r="A356" s="149"/>
      <c r="B356" s="150"/>
      <c r="C356" s="315"/>
      <c r="D356" s="315"/>
      <c r="E356" s="315" t="s">
        <v>191</v>
      </c>
      <c r="F356" s="382" t="s">
        <v>192</v>
      </c>
      <c r="G356" s="376">
        <v>10000</v>
      </c>
      <c r="H356" s="340">
        <f>G356/$G$349</f>
        <v>8.3444592790387184E-2</v>
      </c>
      <c r="I356" s="380" t="s">
        <v>396</v>
      </c>
      <c r="J356" s="289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  <c r="AA356" s="168"/>
      <c r="AB356" s="168"/>
      <c r="AC356" s="168"/>
      <c r="AD356" s="168"/>
    </row>
    <row r="357" spans="1:30" ht="15.5">
      <c r="A357" s="149"/>
      <c r="B357" s="150"/>
      <c r="C357" s="315"/>
      <c r="D357" s="315"/>
      <c r="E357" s="315"/>
      <c r="F357" s="382"/>
      <c r="G357" s="289"/>
      <c r="H357" s="340"/>
      <c r="I357" s="380" t="s">
        <v>397</v>
      </c>
      <c r="J357" s="289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  <c r="AA357" s="168"/>
      <c r="AB357" s="168"/>
      <c r="AC357" s="168"/>
      <c r="AD357" s="168"/>
    </row>
    <row r="358" spans="1:30" ht="15.5">
      <c r="A358" s="149"/>
      <c r="B358" s="150"/>
      <c r="C358" s="315"/>
      <c r="D358" s="315"/>
      <c r="E358" s="315" t="s">
        <v>204</v>
      </c>
      <c r="F358" s="382" t="s">
        <v>205</v>
      </c>
      <c r="G358" s="376">
        <v>3000</v>
      </c>
      <c r="H358" s="340">
        <f t="shared" ref="H358:H359" si="31">G358/$G$349</f>
        <v>2.5033377837116153E-2</v>
      </c>
      <c r="I358" s="380" t="s">
        <v>398</v>
      </c>
      <c r="J358" s="289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  <c r="AA358" s="168"/>
      <c r="AB358" s="168"/>
      <c r="AC358" s="168"/>
      <c r="AD358" s="168"/>
    </row>
    <row r="359" spans="1:30" ht="15.5">
      <c r="A359" s="149"/>
      <c r="B359" s="150"/>
      <c r="C359" s="315"/>
      <c r="D359" s="315"/>
      <c r="E359" s="315" t="s">
        <v>130</v>
      </c>
      <c r="F359" s="382" t="s">
        <v>131</v>
      </c>
      <c r="G359" s="376">
        <v>21000</v>
      </c>
      <c r="H359" s="340">
        <f t="shared" si="31"/>
        <v>0.17523364485981308</v>
      </c>
      <c r="I359" s="380" t="s">
        <v>452</v>
      </c>
      <c r="J359" s="289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  <c r="AA359" s="168"/>
      <c r="AB359" s="168"/>
      <c r="AC359" s="168"/>
      <c r="AD359" s="168"/>
    </row>
    <row r="360" spans="1:30" ht="15.5">
      <c r="A360" s="149"/>
      <c r="B360" s="150"/>
      <c r="C360" s="315"/>
      <c r="D360" s="315"/>
      <c r="E360" s="315"/>
      <c r="F360" s="382"/>
      <c r="G360" s="289"/>
      <c r="H360" s="340"/>
      <c r="I360" s="380" t="s">
        <v>453</v>
      </c>
      <c r="J360" s="289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  <c r="AA360" s="168"/>
      <c r="AB360" s="168"/>
      <c r="AC360" s="168"/>
      <c r="AD360" s="168"/>
    </row>
    <row r="361" spans="1:30" ht="15.5">
      <c r="A361" s="149"/>
      <c r="B361" s="150"/>
      <c r="C361" s="315"/>
      <c r="D361" s="315"/>
      <c r="E361" s="315" t="s">
        <v>218</v>
      </c>
      <c r="F361" s="382" t="s">
        <v>399</v>
      </c>
      <c r="G361" s="376">
        <v>30000</v>
      </c>
      <c r="H361" s="340">
        <f>G361/$G$349</f>
        <v>0.25033377837116155</v>
      </c>
      <c r="I361" s="380" t="s">
        <v>400</v>
      </c>
      <c r="J361" s="289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  <c r="AA361" s="168"/>
      <c r="AB361" s="168"/>
      <c r="AC361" s="168"/>
      <c r="AD361" s="168"/>
    </row>
    <row r="362" spans="1:30" ht="15.5">
      <c r="A362" s="149"/>
      <c r="B362" s="150"/>
      <c r="C362" s="315"/>
      <c r="D362" s="315"/>
      <c r="E362" s="315"/>
      <c r="F362" s="382"/>
      <c r="G362" s="289"/>
      <c r="H362" s="340"/>
      <c r="I362" s="380" t="s">
        <v>401</v>
      </c>
      <c r="J362" s="289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  <c r="AA362" s="168"/>
      <c r="AB362" s="168"/>
      <c r="AC362" s="168"/>
      <c r="AD362" s="168"/>
    </row>
    <row r="363" spans="1:30" ht="15.5">
      <c r="A363" s="149"/>
      <c r="B363" s="150"/>
      <c r="C363" s="315"/>
      <c r="D363" s="315"/>
      <c r="E363" s="315" t="s">
        <v>133</v>
      </c>
      <c r="F363" s="382" t="s">
        <v>134</v>
      </c>
      <c r="G363" s="376">
        <v>4500</v>
      </c>
      <c r="H363" s="340">
        <f>G363/$G$349</f>
        <v>3.7550066755674232E-2</v>
      </c>
      <c r="I363" s="380" t="s">
        <v>402</v>
      </c>
      <c r="J363" s="289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  <c r="AA363" s="168"/>
      <c r="AB363" s="168"/>
      <c r="AC363" s="168"/>
      <c r="AD363" s="168"/>
    </row>
    <row r="364" spans="1:30" ht="15.5">
      <c r="A364" s="149"/>
      <c r="B364" s="150"/>
      <c r="C364" s="315"/>
      <c r="D364" s="315"/>
      <c r="E364" s="315"/>
      <c r="F364" s="382"/>
      <c r="G364" s="289"/>
      <c r="H364" s="340"/>
      <c r="I364" s="380" t="s">
        <v>403</v>
      </c>
      <c r="J364" s="289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  <c r="AA364" s="168"/>
      <c r="AB364" s="168"/>
      <c r="AC364" s="168"/>
      <c r="AD364" s="168"/>
    </row>
    <row r="365" spans="1:30" ht="15.5">
      <c r="A365" s="149"/>
      <c r="B365" s="150"/>
      <c r="C365" s="315"/>
      <c r="D365" s="315"/>
      <c r="E365" s="315" t="s">
        <v>162</v>
      </c>
      <c r="F365" s="382" t="s">
        <v>163</v>
      </c>
      <c r="G365" s="376">
        <v>6480</v>
      </c>
      <c r="H365" s="340">
        <f t="shared" ref="H365:H367" si="32">G365/$G$349</f>
        <v>5.4072096128170898E-2</v>
      </c>
      <c r="I365" s="380" t="s">
        <v>404</v>
      </c>
      <c r="J365" s="289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  <c r="AA365" s="168"/>
      <c r="AB365" s="168"/>
      <c r="AC365" s="168"/>
      <c r="AD365" s="168"/>
    </row>
    <row r="366" spans="1:30" ht="15.5">
      <c r="A366" s="149"/>
      <c r="B366" s="150"/>
      <c r="C366" s="315"/>
      <c r="D366" s="315"/>
      <c r="E366" s="315" t="s">
        <v>149</v>
      </c>
      <c r="F366" s="382" t="s">
        <v>179</v>
      </c>
      <c r="G366" s="376">
        <v>3000</v>
      </c>
      <c r="H366" s="340">
        <f t="shared" si="32"/>
        <v>2.5033377837116153E-2</v>
      </c>
      <c r="I366" s="335" t="s">
        <v>405</v>
      </c>
      <c r="J366" s="289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  <c r="AA366" s="168"/>
      <c r="AB366" s="168"/>
      <c r="AC366" s="168"/>
      <c r="AD366" s="168"/>
    </row>
    <row r="367" spans="1:30" ht="15.5">
      <c r="A367" s="149"/>
      <c r="B367" s="150"/>
      <c r="C367" s="315"/>
      <c r="D367" s="315"/>
      <c r="E367" s="315" t="s">
        <v>138</v>
      </c>
      <c r="F367" s="382" t="s">
        <v>139</v>
      </c>
      <c r="G367" s="289">
        <v>500</v>
      </c>
      <c r="H367" s="340">
        <f t="shared" si="32"/>
        <v>4.1722296395193589E-3</v>
      </c>
      <c r="I367" s="380" t="s">
        <v>406</v>
      </c>
      <c r="J367" s="289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  <c r="AA367" s="168"/>
      <c r="AB367" s="168"/>
      <c r="AC367" s="168"/>
      <c r="AD367" s="168"/>
    </row>
    <row r="368" spans="1:30" ht="15.5">
      <c r="A368" s="149"/>
      <c r="B368" s="234"/>
      <c r="C368" s="234" t="s">
        <v>47</v>
      </c>
      <c r="D368" s="234" t="s">
        <v>49</v>
      </c>
      <c r="E368" s="243"/>
      <c r="F368" s="221" t="s">
        <v>407</v>
      </c>
      <c r="G368" s="256">
        <f>SUM(G369:G376)</f>
        <v>14100</v>
      </c>
      <c r="H368" s="220">
        <f>G368/$G$348</f>
        <v>7.6499055969096549E-2</v>
      </c>
      <c r="I368" s="221"/>
      <c r="J368" s="244"/>
      <c r="K368" s="245"/>
      <c r="L368" s="245"/>
      <c r="M368" s="245"/>
      <c r="N368" s="245"/>
      <c r="O368" s="245"/>
      <c r="P368" s="245"/>
      <c r="Q368" s="245"/>
      <c r="R368" s="245"/>
      <c r="S368" s="245"/>
      <c r="T368" s="245"/>
      <c r="U368" s="245"/>
      <c r="V368" s="245"/>
      <c r="W368" s="245"/>
      <c r="X368" s="245"/>
      <c r="Y368" s="245"/>
      <c r="Z368" s="245"/>
      <c r="AA368" s="245"/>
      <c r="AB368" s="245"/>
      <c r="AC368" s="245"/>
      <c r="AD368" s="245"/>
    </row>
    <row r="369" spans="1:30" ht="15.5">
      <c r="A369" s="149"/>
      <c r="B369" s="150"/>
      <c r="C369" s="315"/>
      <c r="D369" s="315"/>
      <c r="E369" s="316" t="s">
        <v>305</v>
      </c>
      <c r="F369" s="228" t="s">
        <v>306</v>
      </c>
      <c r="G369" s="225">
        <v>4000</v>
      </c>
      <c r="H369" s="226">
        <f t="shared" ref="H369:H372" si="33">G369/$G$368</f>
        <v>0.28368794326241137</v>
      </c>
      <c r="I369" s="297" t="s">
        <v>408</v>
      </c>
      <c r="J369" s="195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  <c r="AA369" s="168"/>
      <c r="AB369" s="168"/>
      <c r="AC369" s="168"/>
      <c r="AD369" s="168"/>
    </row>
    <row r="370" spans="1:30" ht="15.5">
      <c r="A370" s="149"/>
      <c r="B370" s="150"/>
      <c r="C370" s="315"/>
      <c r="D370" s="315"/>
      <c r="E370" s="316" t="s">
        <v>218</v>
      </c>
      <c r="F370" s="228" t="s">
        <v>399</v>
      </c>
      <c r="G370" s="225">
        <v>6000</v>
      </c>
      <c r="H370" s="226">
        <f t="shared" si="33"/>
        <v>0.42553191489361702</v>
      </c>
      <c r="I370" s="297" t="s">
        <v>409</v>
      </c>
      <c r="J370" s="195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  <c r="AA370" s="168"/>
      <c r="AB370" s="168"/>
      <c r="AC370" s="168"/>
      <c r="AD370" s="168"/>
    </row>
    <row r="371" spans="1:30" ht="15.5">
      <c r="A371" s="149"/>
      <c r="B371" s="150"/>
      <c r="C371" s="315"/>
      <c r="D371" s="315"/>
      <c r="E371" s="316" t="s">
        <v>133</v>
      </c>
      <c r="F371" s="228" t="s">
        <v>134</v>
      </c>
      <c r="G371" s="225">
        <v>1000</v>
      </c>
      <c r="H371" s="226">
        <f t="shared" si="33"/>
        <v>7.0921985815602842E-2</v>
      </c>
      <c r="I371" s="297" t="s">
        <v>410</v>
      </c>
      <c r="J371" s="195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  <c r="AA371" s="168"/>
      <c r="AB371" s="168"/>
      <c r="AC371" s="168"/>
      <c r="AD371" s="168"/>
    </row>
    <row r="372" spans="1:30" ht="15.5">
      <c r="A372" s="149"/>
      <c r="B372" s="150"/>
      <c r="C372" s="315"/>
      <c r="D372" s="315"/>
      <c r="E372" s="316" t="s">
        <v>268</v>
      </c>
      <c r="F372" s="228" t="s">
        <v>269</v>
      </c>
      <c r="G372" s="225">
        <v>2400</v>
      </c>
      <c r="H372" s="226">
        <f t="shared" si="33"/>
        <v>0.1702127659574468</v>
      </c>
      <c r="I372" s="297" t="s">
        <v>411</v>
      </c>
      <c r="J372" s="195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  <c r="AA372" s="168"/>
      <c r="AB372" s="168"/>
      <c r="AC372" s="168"/>
      <c r="AD372" s="168"/>
    </row>
    <row r="373" spans="1:30" ht="15.5">
      <c r="A373" s="149"/>
      <c r="B373" s="150"/>
      <c r="C373" s="315"/>
      <c r="D373" s="315"/>
      <c r="E373" s="316"/>
      <c r="F373" s="228"/>
      <c r="G373" s="225"/>
      <c r="H373" s="226"/>
      <c r="I373" s="297" t="s">
        <v>412</v>
      </c>
      <c r="J373" s="195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  <c r="AA373" s="168"/>
      <c r="AB373" s="168"/>
      <c r="AC373" s="168"/>
      <c r="AD373" s="168"/>
    </row>
    <row r="374" spans="1:30" ht="15.5">
      <c r="A374" s="149"/>
      <c r="B374" s="150"/>
      <c r="C374" s="315"/>
      <c r="D374" s="315"/>
      <c r="E374" s="316" t="s">
        <v>327</v>
      </c>
      <c r="F374" s="228" t="s">
        <v>328</v>
      </c>
      <c r="G374" s="225">
        <v>200</v>
      </c>
      <c r="H374" s="226">
        <f t="shared" ref="H374:H375" si="34">G374/$G$368</f>
        <v>1.4184397163120567E-2</v>
      </c>
      <c r="I374" s="297" t="s">
        <v>413</v>
      </c>
      <c r="J374" s="195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  <c r="AA374" s="168"/>
      <c r="AB374" s="168"/>
      <c r="AC374" s="168"/>
      <c r="AD374" s="168"/>
    </row>
    <row r="375" spans="1:30" ht="15.5">
      <c r="A375" s="149"/>
      <c r="B375" s="150"/>
      <c r="C375" s="315"/>
      <c r="D375" s="315"/>
      <c r="E375" s="316" t="s">
        <v>138</v>
      </c>
      <c r="F375" s="228" t="s">
        <v>139</v>
      </c>
      <c r="G375" s="225">
        <v>500</v>
      </c>
      <c r="H375" s="226">
        <f t="shared" si="34"/>
        <v>3.5460992907801421E-2</v>
      </c>
      <c r="I375" s="297" t="s">
        <v>406</v>
      </c>
      <c r="J375" s="195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  <c r="AA375" s="168"/>
      <c r="AB375" s="168"/>
      <c r="AC375" s="168"/>
      <c r="AD375" s="168"/>
    </row>
    <row r="376" spans="1:30" ht="15.5">
      <c r="A376" s="149"/>
      <c r="B376" s="150"/>
      <c r="C376" s="315"/>
      <c r="D376" s="315"/>
      <c r="E376" s="316"/>
      <c r="F376" s="228"/>
      <c r="G376" s="225"/>
      <c r="H376" s="226"/>
      <c r="I376" s="297"/>
      <c r="J376" s="195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  <c r="AA376" s="168"/>
      <c r="AB376" s="168"/>
      <c r="AC376" s="168"/>
      <c r="AD376" s="168"/>
    </row>
    <row r="377" spans="1:30" ht="15.5">
      <c r="A377" s="233"/>
      <c r="B377" s="234"/>
      <c r="C377" s="234" t="s">
        <v>47</v>
      </c>
      <c r="D377" s="234" t="s">
        <v>53</v>
      </c>
      <c r="E377" s="243"/>
      <c r="F377" s="221" t="s">
        <v>414</v>
      </c>
      <c r="G377" s="256">
        <f>SUM(G378:G383)</f>
        <v>21860</v>
      </c>
      <c r="H377" s="220">
        <f>G377/$G$348</f>
        <v>0.11860066407691139</v>
      </c>
      <c r="I377" s="221"/>
      <c r="J377" s="244"/>
      <c r="K377" s="245"/>
      <c r="L377" s="245"/>
      <c r="M377" s="245"/>
      <c r="N377" s="245"/>
      <c r="O377" s="245"/>
      <c r="P377" s="245"/>
      <c r="Q377" s="245"/>
      <c r="R377" s="245"/>
      <c r="S377" s="245"/>
      <c r="T377" s="245"/>
      <c r="U377" s="245"/>
      <c r="V377" s="245"/>
      <c r="W377" s="245"/>
      <c r="X377" s="245"/>
      <c r="Y377" s="245"/>
      <c r="Z377" s="245"/>
      <c r="AA377" s="245"/>
      <c r="AB377" s="245"/>
      <c r="AC377" s="245"/>
      <c r="AD377" s="245"/>
    </row>
    <row r="378" spans="1:30" ht="15.5">
      <c r="A378" s="149"/>
      <c r="B378" s="150"/>
      <c r="C378" s="150"/>
      <c r="D378" s="150"/>
      <c r="E378" s="146" t="s">
        <v>126</v>
      </c>
      <c r="F378" s="194" t="s">
        <v>127</v>
      </c>
      <c r="G378" s="263">
        <v>4000</v>
      </c>
      <c r="H378" s="247">
        <f t="shared" ref="H378:H382" si="35">G378/$G$377</f>
        <v>0.18298261665141813</v>
      </c>
      <c r="I378" s="227" t="s">
        <v>415</v>
      </c>
      <c r="J378" s="195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  <c r="AA378" s="168"/>
      <c r="AB378" s="168"/>
      <c r="AC378" s="168"/>
      <c r="AD378" s="168"/>
    </row>
    <row r="379" spans="1:30" ht="31">
      <c r="A379" s="149"/>
      <c r="B379" s="150"/>
      <c r="C379" s="150"/>
      <c r="D379" s="150"/>
      <c r="E379" s="170" t="s">
        <v>204</v>
      </c>
      <c r="F379" s="269" t="s">
        <v>205</v>
      </c>
      <c r="G379" s="481">
        <v>8000</v>
      </c>
      <c r="H379" s="485">
        <f t="shared" si="35"/>
        <v>0.36596523330283626</v>
      </c>
      <c r="I379" s="227" t="s">
        <v>416</v>
      </c>
      <c r="J379" s="195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  <c r="AA379" s="168"/>
      <c r="AB379" s="168"/>
      <c r="AC379" s="168"/>
      <c r="AD379" s="168"/>
    </row>
    <row r="380" spans="1:30" ht="15.5">
      <c r="A380" s="149"/>
      <c r="B380" s="150"/>
      <c r="C380" s="150"/>
      <c r="D380" s="150"/>
      <c r="E380" s="146" t="s">
        <v>218</v>
      </c>
      <c r="F380" s="194" t="s">
        <v>399</v>
      </c>
      <c r="G380" s="263">
        <v>7200</v>
      </c>
      <c r="H380" s="247">
        <f t="shared" si="35"/>
        <v>0.32936870997255263</v>
      </c>
      <c r="I380" s="227" t="s">
        <v>417</v>
      </c>
      <c r="J380" s="195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  <c r="AA380" s="168"/>
      <c r="AB380" s="168"/>
      <c r="AC380" s="168"/>
      <c r="AD380" s="168"/>
    </row>
    <row r="381" spans="1:30" ht="15.5">
      <c r="A381" s="149"/>
      <c r="B381" s="150"/>
      <c r="C381" s="150"/>
      <c r="D381" s="150"/>
      <c r="E381" s="146" t="s">
        <v>162</v>
      </c>
      <c r="F381" s="194" t="s">
        <v>163</v>
      </c>
      <c r="G381" s="263">
        <v>2160</v>
      </c>
      <c r="H381" s="247">
        <f t="shared" si="35"/>
        <v>9.8810612991765787E-2</v>
      </c>
      <c r="I381" s="227" t="s">
        <v>418</v>
      </c>
      <c r="J381" s="195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  <c r="AA381" s="168"/>
      <c r="AB381" s="168"/>
      <c r="AC381" s="168"/>
      <c r="AD381" s="168"/>
    </row>
    <row r="382" spans="1:30" ht="15.5">
      <c r="A382" s="149"/>
      <c r="B382" s="150"/>
      <c r="C382" s="150"/>
      <c r="D382" s="150"/>
      <c r="E382" s="146" t="s">
        <v>138</v>
      </c>
      <c r="F382" s="194" t="s">
        <v>139</v>
      </c>
      <c r="G382" s="263">
        <v>500</v>
      </c>
      <c r="H382" s="247">
        <f t="shared" si="35"/>
        <v>2.2872827081427266E-2</v>
      </c>
      <c r="I382" s="227" t="s">
        <v>406</v>
      </c>
      <c r="J382" s="195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  <c r="AA382" s="168"/>
      <c r="AB382" s="168"/>
      <c r="AC382" s="168"/>
      <c r="AD382" s="168"/>
    </row>
    <row r="383" spans="1:30" ht="15.5">
      <c r="A383" s="149"/>
      <c r="B383" s="150"/>
      <c r="C383" s="150"/>
      <c r="D383" s="150"/>
      <c r="E383" s="146"/>
      <c r="F383" s="194"/>
      <c r="G383" s="263"/>
      <c r="H383" s="247"/>
      <c r="I383" s="227"/>
      <c r="J383" s="195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  <c r="AA383" s="168"/>
      <c r="AB383" s="168"/>
      <c r="AC383" s="168"/>
      <c r="AD383" s="168"/>
    </row>
    <row r="384" spans="1:30" ht="15.5">
      <c r="A384" s="233"/>
      <c r="B384" s="234"/>
      <c r="C384" s="234" t="s">
        <v>47</v>
      </c>
      <c r="D384" s="234" t="s">
        <v>54</v>
      </c>
      <c r="E384" s="243"/>
      <c r="F384" s="221" t="s">
        <v>123</v>
      </c>
      <c r="G384" s="256">
        <f>SUM(G385:G389)</f>
        <v>19300</v>
      </c>
      <c r="H384" s="220">
        <f>G384/$G$348</f>
        <v>0.10471147377330237</v>
      </c>
      <c r="I384" s="221"/>
      <c r="J384" s="244"/>
      <c r="K384" s="245"/>
      <c r="L384" s="245"/>
      <c r="M384" s="245"/>
      <c r="N384" s="245"/>
      <c r="O384" s="245"/>
      <c r="P384" s="245"/>
      <c r="Q384" s="245"/>
      <c r="R384" s="245"/>
      <c r="S384" s="245"/>
      <c r="T384" s="245"/>
      <c r="U384" s="245"/>
      <c r="V384" s="245"/>
      <c r="W384" s="245"/>
      <c r="X384" s="245"/>
      <c r="Y384" s="245"/>
      <c r="Z384" s="245"/>
      <c r="AA384" s="245"/>
      <c r="AB384" s="245"/>
      <c r="AC384" s="245"/>
      <c r="AD384" s="245"/>
    </row>
    <row r="385" spans="1:30" ht="15.5">
      <c r="A385" s="149"/>
      <c r="B385" s="150"/>
      <c r="C385" s="150"/>
      <c r="D385" s="150"/>
      <c r="E385" s="146" t="s">
        <v>305</v>
      </c>
      <c r="F385" s="194" t="s">
        <v>306</v>
      </c>
      <c r="G385" s="263">
        <v>4000</v>
      </c>
      <c r="H385" s="247">
        <f t="shared" ref="H385:H389" si="36">G385/$G$384</f>
        <v>0.20725388601036268</v>
      </c>
      <c r="I385" s="227" t="s">
        <v>408</v>
      </c>
      <c r="J385" s="195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  <c r="AA385" s="168"/>
      <c r="AB385" s="168"/>
      <c r="AC385" s="168"/>
      <c r="AD385" s="168"/>
    </row>
    <row r="386" spans="1:30" ht="31">
      <c r="A386" s="149"/>
      <c r="B386" s="150"/>
      <c r="C386" s="150"/>
      <c r="D386" s="150"/>
      <c r="E386" s="170" t="s">
        <v>204</v>
      </c>
      <c r="F386" s="269" t="s">
        <v>205</v>
      </c>
      <c r="G386" s="481">
        <v>8000</v>
      </c>
      <c r="H386" s="485">
        <f t="shared" si="36"/>
        <v>0.41450777202072536</v>
      </c>
      <c r="I386" s="227" t="s">
        <v>416</v>
      </c>
      <c r="J386" s="195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  <c r="AA386" s="168"/>
      <c r="AB386" s="168"/>
      <c r="AC386" s="168"/>
      <c r="AD386" s="168"/>
    </row>
    <row r="387" spans="1:30" ht="15.5">
      <c r="A387" s="149"/>
      <c r="B387" s="150"/>
      <c r="C387" s="150"/>
      <c r="D387" s="150"/>
      <c r="E387" s="146" t="s">
        <v>218</v>
      </c>
      <c r="F387" s="194" t="s">
        <v>399</v>
      </c>
      <c r="G387" s="263">
        <v>4800</v>
      </c>
      <c r="H387" s="247">
        <f t="shared" si="36"/>
        <v>0.24870466321243523</v>
      </c>
      <c r="I387" s="227" t="s">
        <v>419</v>
      </c>
      <c r="J387" s="195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  <c r="AA387" s="168"/>
      <c r="AB387" s="168"/>
      <c r="AC387" s="168"/>
      <c r="AD387" s="168"/>
    </row>
    <row r="388" spans="1:30" ht="15.5">
      <c r="A388" s="149"/>
      <c r="B388" s="150"/>
      <c r="C388" s="150"/>
      <c r="D388" s="150"/>
      <c r="E388" s="146" t="s">
        <v>183</v>
      </c>
      <c r="F388" s="194" t="s">
        <v>184</v>
      </c>
      <c r="G388" s="263">
        <v>2000</v>
      </c>
      <c r="H388" s="247">
        <f t="shared" si="36"/>
        <v>0.10362694300518134</v>
      </c>
      <c r="I388" s="227" t="s">
        <v>420</v>
      </c>
      <c r="J388" s="195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  <c r="AA388" s="168"/>
      <c r="AB388" s="168"/>
      <c r="AC388" s="168"/>
      <c r="AD388" s="168"/>
    </row>
    <row r="389" spans="1:30" ht="15.5">
      <c r="A389" s="149"/>
      <c r="B389" s="150"/>
      <c r="C389" s="150"/>
      <c r="D389" s="150"/>
      <c r="E389" s="146" t="s">
        <v>138</v>
      </c>
      <c r="F389" s="194" t="s">
        <v>139</v>
      </c>
      <c r="G389" s="263">
        <v>500</v>
      </c>
      <c r="H389" s="247">
        <f t="shared" si="36"/>
        <v>2.5906735751295335E-2</v>
      </c>
      <c r="I389" s="227" t="s">
        <v>406</v>
      </c>
      <c r="J389" s="195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  <c r="AA389" s="168"/>
      <c r="AB389" s="168"/>
      <c r="AC389" s="168"/>
      <c r="AD389" s="168"/>
    </row>
    <row r="390" spans="1:30" ht="15.5">
      <c r="A390" s="149"/>
      <c r="B390" s="150"/>
      <c r="C390" s="150"/>
      <c r="D390" s="150"/>
      <c r="E390" s="146"/>
      <c r="F390" s="194"/>
      <c r="G390" s="263"/>
      <c r="H390" s="247"/>
      <c r="I390" s="227"/>
      <c r="J390" s="195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  <c r="AA390" s="168"/>
      <c r="AB390" s="168"/>
      <c r="AC390" s="168"/>
      <c r="AD390" s="168"/>
    </row>
    <row r="391" spans="1:30" ht="15.5">
      <c r="A391" s="149"/>
      <c r="B391" s="234"/>
      <c r="C391" s="234" t="s">
        <v>51</v>
      </c>
      <c r="D391" s="234" t="s">
        <v>51</v>
      </c>
      <c r="E391" s="243"/>
      <c r="F391" s="221" t="s">
        <v>52</v>
      </c>
      <c r="G391" s="256">
        <f>ROUND((G349+G368+G377+G384)/95*5,0)</f>
        <v>9216</v>
      </c>
      <c r="H391" s="220">
        <f>G391/G347</f>
        <v>5.0001085092992469E-2</v>
      </c>
      <c r="I391" s="221" t="s">
        <v>152</v>
      </c>
      <c r="J391" s="244"/>
      <c r="K391" s="245"/>
      <c r="L391" s="245"/>
      <c r="M391" s="245"/>
      <c r="N391" s="245"/>
      <c r="O391" s="245"/>
      <c r="P391" s="245"/>
      <c r="Q391" s="245"/>
      <c r="R391" s="245"/>
      <c r="S391" s="245"/>
      <c r="T391" s="245"/>
      <c r="U391" s="245"/>
      <c r="V391" s="245"/>
      <c r="W391" s="245"/>
      <c r="X391" s="245"/>
      <c r="Y391" s="245"/>
      <c r="Z391" s="245"/>
      <c r="AA391" s="245"/>
      <c r="AB391" s="245"/>
      <c r="AC391" s="245"/>
      <c r="AD391" s="245"/>
    </row>
    <row r="392" spans="1:30" ht="15.5">
      <c r="A392" s="149"/>
      <c r="B392" s="150"/>
      <c r="C392" s="150"/>
      <c r="D392" s="150"/>
      <c r="E392" s="146"/>
      <c r="F392" s="194"/>
      <c r="G392" s="263"/>
      <c r="H392" s="247"/>
      <c r="I392" s="379"/>
      <c r="J392" s="195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</row>
    <row r="393" spans="1:30" ht="15.5">
      <c r="A393" s="149"/>
      <c r="B393" s="150"/>
      <c r="C393" s="150"/>
      <c r="D393" s="150"/>
      <c r="E393" s="146"/>
      <c r="F393" s="194"/>
      <c r="G393" s="263"/>
      <c r="H393" s="206"/>
      <c r="I393" s="379"/>
      <c r="J393" s="195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  <c r="AA393" s="168"/>
      <c r="AB393" s="168"/>
      <c r="AC393" s="168"/>
      <c r="AD393" s="168"/>
    </row>
    <row r="394" spans="1:30" ht="15.5">
      <c r="A394" s="149"/>
      <c r="B394" s="150"/>
      <c r="C394" s="150"/>
      <c r="D394" s="150"/>
      <c r="E394" s="146"/>
      <c r="F394" s="194"/>
      <c r="G394" s="263"/>
      <c r="H394" s="206"/>
      <c r="I394" s="194"/>
      <c r="J394" s="195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  <c r="AA394" s="168"/>
      <c r="AB394" s="168"/>
      <c r="AC394" s="168"/>
      <c r="AD394" s="168"/>
    </row>
    <row r="395" spans="1:30" ht="15.5">
      <c r="A395" s="196" t="s">
        <v>53</v>
      </c>
      <c r="B395" s="197" t="s">
        <v>47</v>
      </c>
      <c r="C395" s="197" t="s">
        <v>47</v>
      </c>
      <c r="D395" s="197" t="s">
        <v>47</v>
      </c>
      <c r="E395" s="198"/>
      <c r="F395" s="199" t="s">
        <v>30</v>
      </c>
      <c r="G395" s="383">
        <f>G396</f>
        <v>94357.894736842107</v>
      </c>
      <c r="H395" s="201">
        <f>G395/$G$6</f>
        <v>5.1176935347670607E-2</v>
      </c>
      <c r="I395" s="199"/>
      <c r="J395" s="203"/>
      <c r="K395" s="204"/>
      <c r="L395" s="204"/>
      <c r="M395" s="204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</row>
    <row r="396" spans="1:30" ht="15.5">
      <c r="A396" s="207"/>
      <c r="B396" s="208" t="s">
        <v>46</v>
      </c>
      <c r="C396" s="208" t="s">
        <v>47</v>
      </c>
      <c r="D396" s="208" t="s">
        <v>47</v>
      </c>
      <c r="E396" s="209"/>
      <c r="F396" s="210" t="s">
        <v>31</v>
      </c>
      <c r="G396" s="279">
        <f>G397+G412</f>
        <v>94357.894736842107</v>
      </c>
      <c r="H396" s="212">
        <f>G396/$G$395</f>
        <v>1</v>
      </c>
      <c r="I396" s="210"/>
      <c r="J396" s="213"/>
      <c r="K396" s="214"/>
      <c r="L396" s="214"/>
      <c r="M396" s="214"/>
      <c r="N396" s="214"/>
      <c r="O396" s="214"/>
      <c r="P396" s="214"/>
      <c r="Q396" s="214"/>
      <c r="R396" s="214"/>
      <c r="S396" s="214"/>
      <c r="T396" s="214"/>
      <c r="U396" s="214"/>
      <c r="V396" s="214"/>
      <c r="W396" s="214"/>
      <c r="X396" s="214"/>
      <c r="Y396" s="214"/>
      <c r="Z396" s="214"/>
      <c r="AA396" s="214"/>
      <c r="AB396" s="214"/>
      <c r="AC396" s="214"/>
      <c r="AD396" s="214"/>
    </row>
    <row r="397" spans="1:30" ht="15.5">
      <c r="A397" s="149"/>
      <c r="B397" s="234"/>
      <c r="C397" s="234" t="s">
        <v>47</v>
      </c>
      <c r="D397" s="234" t="s">
        <v>46</v>
      </c>
      <c r="E397" s="243"/>
      <c r="F397" s="221" t="s">
        <v>89</v>
      </c>
      <c r="G397" s="384">
        <f>SUM(G398:G411)</f>
        <v>89640</v>
      </c>
      <c r="H397" s="220">
        <f>G397/$G$396</f>
        <v>0.95</v>
      </c>
      <c r="I397" s="221"/>
      <c r="J397" s="244"/>
      <c r="K397" s="245"/>
      <c r="L397" s="245"/>
      <c r="M397" s="245"/>
      <c r="N397" s="245"/>
      <c r="O397" s="245"/>
      <c r="P397" s="245"/>
      <c r="Q397" s="245"/>
      <c r="R397" s="245"/>
      <c r="S397" s="245"/>
      <c r="T397" s="245"/>
      <c r="U397" s="245"/>
      <c r="V397" s="245"/>
      <c r="W397" s="245"/>
      <c r="X397" s="245"/>
      <c r="Y397" s="245"/>
      <c r="Z397" s="245"/>
      <c r="AA397" s="245"/>
      <c r="AB397" s="245"/>
      <c r="AC397" s="245"/>
      <c r="AD397" s="245"/>
    </row>
    <row r="398" spans="1:30" ht="15.5">
      <c r="A398" s="149"/>
      <c r="B398" s="150"/>
      <c r="C398" s="150"/>
      <c r="D398" s="150"/>
      <c r="E398" s="146" t="s">
        <v>421</v>
      </c>
      <c r="F398" s="228" t="s">
        <v>422</v>
      </c>
      <c r="G398" s="225">
        <v>38700</v>
      </c>
      <c r="H398" s="226">
        <f t="shared" ref="H398:H399" si="37">G398/$G$397</f>
        <v>0.43172690763052207</v>
      </c>
      <c r="I398" s="385" t="s">
        <v>423</v>
      </c>
      <c r="J398" s="195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  <c r="AA398" s="168"/>
      <c r="AB398" s="168"/>
      <c r="AC398" s="168"/>
      <c r="AD398" s="168"/>
    </row>
    <row r="399" spans="1:30" ht="15.5">
      <c r="A399" s="149"/>
      <c r="B399" s="150"/>
      <c r="C399" s="150"/>
      <c r="D399" s="150"/>
      <c r="E399" s="146" t="s">
        <v>424</v>
      </c>
      <c r="F399" s="228" t="s">
        <v>425</v>
      </c>
      <c r="G399" s="225">
        <v>24500</v>
      </c>
      <c r="H399" s="226">
        <f t="shared" si="37"/>
        <v>0.27331548415885765</v>
      </c>
      <c r="I399" s="194" t="s">
        <v>426</v>
      </c>
      <c r="J399" s="195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  <c r="AA399" s="168"/>
      <c r="AB399" s="168"/>
      <c r="AC399" s="168"/>
      <c r="AD399" s="168"/>
    </row>
    <row r="400" spans="1:30" ht="15.5">
      <c r="A400" s="149"/>
      <c r="B400" s="150"/>
      <c r="C400" s="150"/>
      <c r="D400" s="150"/>
      <c r="E400" s="146"/>
      <c r="F400" s="228"/>
      <c r="G400" s="225"/>
      <c r="H400" s="226"/>
      <c r="I400" s="194" t="s">
        <v>427</v>
      </c>
      <c r="J400" s="195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  <c r="AA400" s="168"/>
      <c r="AB400" s="168"/>
      <c r="AC400" s="168"/>
      <c r="AD400" s="168"/>
    </row>
    <row r="401" spans="1:30" ht="15.5">
      <c r="A401" s="149"/>
      <c r="B401" s="150"/>
      <c r="C401" s="150"/>
      <c r="D401" s="150"/>
      <c r="E401" s="146"/>
      <c r="F401" s="228"/>
      <c r="G401" s="225"/>
      <c r="H401" s="226"/>
      <c r="I401" s="194" t="s">
        <v>428</v>
      </c>
      <c r="J401" s="195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  <c r="AA401" s="168"/>
      <c r="AB401" s="168"/>
      <c r="AC401" s="168"/>
      <c r="AD401" s="168"/>
    </row>
    <row r="402" spans="1:30" ht="15.5">
      <c r="A402" s="149"/>
      <c r="B402" s="150"/>
      <c r="C402" s="150"/>
      <c r="D402" s="150"/>
      <c r="E402" s="146" t="s">
        <v>429</v>
      </c>
      <c r="F402" s="228" t="s">
        <v>430</v>
      </c>
      <c r="G402" s="225">
        <v>6000</v>
      </c>
      <c r="H402" s="226">
        <f>G402/$G$397</f>
        <v>6.6934404283801874E-2</v>
      </c>
      <c r="I402" s="385" t="s">
        <v>431</v>
      </c>
      <c r="J402" s="195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  <c r="AA402" s="168"/>
      <c r="AB402" s="168"/>
      <c r="AC402" s="168"/>
      <c r="AD402" s="168"/>
    </row>
    <row r="403" spans="1:30" ht="15.5">
      <c r="A403" s="149"/>
      <c r="B403" s="150"/>
      <c r="C403" s="150"/>
      <c r="D403" s="150"/>
      <c r="E403" s="146" t="s">
        <v>432</v>
      </c>
      <c r="F403" s="151" t="s">
        <v>433</v>
      </c>
      <c r="G403" s="225">
        <v>5000</v>
      </c>
      <c r="H403" s="226"/>
      <c r="I403" s="385" t="s">
        <v>434</v>
      </c>
      <c r="J403" s="195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  <c r="AA403" s="168"/>
      <c r="AB403" s="168"/>
      <c r="AC403" s="168"/>
      <c r="AD403" s="168"/>
    </row>
    <row r="404" spans="1:30" ht="15.5">
      <c r="A404" s="149"/>
      <c r="B404" s="150"/>
      <c r="C404" s="150"/>
      <c r="D404" s="150"/>
      <c r="E404" s="146" t="s">
        <v>435</v>
      </c>
      <c r="F404" s="386" t="s">
        <v>436</v>
      </c>
      <c r="G404" s="387">
        <v>2500</v>
      </c>
      <c r="H404" s="226">
        <f t="shared" ref="H404:H411" si="38">G404/$G$397</f>
        <v>2.7889335118250782E-2</v>
      </c>
      <c r="I404" s="289" t="s">
        <v>437</v>
      </c>
      <c r="J404" s="195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  <c r="AA404" s="168"/>
      <c r="AB404" s="168"/>
      <c r="AC404" s="168"/>
      <c r="AD404" s="168"/>
    </row>
    <row r="405" spans="1:30" ht="15.5">
      <c r="A405" s="149"/>
      <c r="B405" s="150"/>
      <c r="C405" s="150"/>
      <c r="D405" s="150"/>
      <c r="E405" s="146" t="s">
        <v>130</v>
      </c>
      <c r="F405" s="228" t="s">
        <v>131</v>
      </c>
      <c r="G405" s="225">
        <v>6000</v>
      </c>
      <c r="H405" s="226">
        <f t="shared" si="38"/>
        <v>6.6934404283801874E-2</v>
      </c>
      <c r="I405" s="385" t="s">
        <v>438</v>
      </c>
      <c r="J405" s="195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  <c r="AA405" s="168"/>
      <c r="AB405" s="168"/>
      <c r="AC405" s="168"/>
      <c r="AD405" s="168"/>
    </row>
    <row r="406" spans="1:30" ht="15.5">
      <c r="A406" s="149"/>
      <c r="B406" s="150"/>
      <c r="C406" s="150"/>
      <c r="D406" s="150"/>
      <c r="E406" s="146" t="s">
        <v>218</v>
      </c>
      <c r="F406" s="228" t="s">
        <v>219</v>
      </c>
      <c r="G406" s="387">
        <v>1600</v>
      </c>
      <c r="H406" s="226">
        <f t="shared" si="38"/>
        <v>1.7849174475680501E-2</v>
      </c>
      <c r="I406" s="194" t="s">
        <v>439</v>
      </c>
      <c r="J406" s="195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  <c r="AA406" s="168"/>
      <c r="AB406" s="168"/>
      <c r="AC406" s="168"/>
      <c r="AD406" s="168"/>
    </row>
    <row r="407" spans="1:30" ht="15.5">
      <c r="A407" s="149"/>
      <c r="B407" s="150"/>
      <c r="C407" s="150"/>
      <c r="D407" s="150"/>
      <c r="E407" s="146"/>
      <c r="F407" s="228"/>
      <c r="G407" s="387">
        <v>1280</v>
      </c>
      <c r="H407" s="226">
        <f t="shared" si="38"/>
        <v>1.4279339580544399E-2</v>
      </c>
      <c r="I407" s="194" t="s">
        <v>440</v>
      </c>
      <c r="J407" s="195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  <c r="AA407" s="168"/>
      <c r="AB407" s="168"/>
      <c r="AC407" s="168"/>
      <c r="AD407" s="168"/>
    </row>
    <row r="408" spans="1:30" ht="15.5">
      <c r="A408" s="149"/>
      <c r="B408" s="150"/>
      <c r="C408" s="150"/>
      <c r="D408" s="150"/>
      <c r="E408" s="146"/>
      <c r="F408" s="228"/>
      <c r="G408" s="387">
        <v>960</v>
      </c>
      <c r="H408" s="226">
        <f t="shared" si="38"/>
        <v>1.0709504685408299E-2</v>
      </c>
      <c r="I408" s="194" t="s">
        <v>441</v>
      </c>
      <c r="J408" s="195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  <c r="AA408" s="168"/>
      <c r="AB408" s="168"/>
      <c r="AC408" s="168"/>
      <c r="AD408" s="168"/>
    </row>
    <row r="409" spans="1:30" ht="15.5">
      <c r="A409" s="149"/>
      <c r="B409" s="150"/>
      <c r="C409" s="150"/>
      <c r="D409" s="150"/>
      <c r="E409" s="146"/>
      <c r="F409" s="228"/>
      <c r="G409" s="387">
        <v>800</v>
      </c>
      <c r="H409" s="226">
        <f t="shared" si="38"/>
        <v>8.9245872378402504E-3</v>
      </c>
      <c r="I409" s="194" t="s">
        <v>442</v>
      </c>
      <c r="J409" s="195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  <c r="AA409" s="168"/>
      <c r="AB409" s="168"/>
      <c r="AC409" s="168"/>
      <c r="AD409" s="168"/>
    </row>
    <row r="410" spans="1:30" ht="15.5">
      <c r="A410" s="149"/>
      <c r="B410" s="150"/>
      <c r="C410" s="150"/>
      <c r="D410" s="150"/>
      <c r="E410" s="146" t="s">
        <v>133</v>
      </c>
      <c r="F410" s="228" t="s">
        <v>134</v>
      </c>
      <c r="G410" s="387">
        <v>700</v>
      </c>
      <c r="H410" s="226">
        <f t="shared" si="38"/>
        <v>7.8090138331102189E-3</v>
      </c>
      <c r="I410" s="289" t="s">
        <v>443</v>
      </c>
      <c r="J410" s="195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  <c r="AA410" s="168"/>
      <c r="AB410" s="168"/>
      <c r="AC410" s="168"/>
      <c r="AD410" s="168"/>
    </row>
    <row r="411" spans="1:30" ht="15.5">
      <c r="A411" s="149"/>
      <c r="B411" s="150"/>
      <c r="C411" s="150"/>
      <c r="D411" s="150"/>
      <c r="E411" s="146" t="s">
        <v>183</v>
      </c>
      <c r="F411" s="228" t="s">
        <v>184</v>
      </c>
      <c r="G411" s="225">
        <v>1600</v>
      </c>
      <c r="H411" s="226">
        <f t="shared" si="38"/>
        <v>1.7849174475680501E-2</v>
      </c>
      <c r="I411" s="385" t="s">
        <v>444</v>
      </c>
      <c r="J411" s="195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  <c r="AA411" s="168"/>
      <c r="AB411" s="168"/>
      <c r="AC411" s="168"/>
      <c r="AD411" s="168"/>
    </row>
    <row r="412" spans="1:30" ht="15.5">
      <c r="A412" s="149"/>
      <c r="B412" s="234"/>
      <c r="C412" s="234" t="s">
        <v>51</v>
      </c>
      <c r="D412" s="234" t="s">
        <v>51</v>
      </c>
      <c r="E412" s="243"/>
      <c r="F412" s="221" t="s">
        <v>52</v>
      </c>
      <c r="G412" s="256">
        <f>(G397)/0.95*0.05</f>
        <v>4717.8947368421059</v>
      </c>
      <c r="H412" s="220">
        <f>G412/$G$396</f>
        <v>0.05</v>
      </c>
      <c r="I412" s="388" t="s">
        <v>152</v>
      </c>
      <c r="J412" s="244"/>
      <c r="K412" s="245"/>
      <c r="L412" s="245"/>
      <c r="M412" s="245"/>
      <c r="N412" s="245"/>
      <c r="O412" s="245"/>
      <c r="P412" s="245"/>
      <c r="Q412" s="245"/>
      <c r="R412" s="245"/>
      <c r="S412" s="245"/>
      <c r="T412" s="245"/>
      <c r="U412" s="245"/>
      <c r="V412" s="245"/>
      <c r="W412" s="245"/>
      <c r="X412" s="245"/>
      <c r="Y412" s="245"/>
      <c r="Z412" s="245"/>
      <c r="AA412" s="245"/>
      <c r="AB412" s="245"/>
      <c r="AC412" s="245"/>
      <c r="AD412" s="245"/>
    </row>
    <row r="413" spans="1:30" ht="15.5">
      <c r="A413" s="149"/>
      <c r="B413" s="150"/>
      <c r="C413" s="150"/>
      <c r="D413" s="150"/>
      <c r="E413" s="146"/>
      <c r="F413" s="194"/>
      <c r="G413" s="263"/>
      <c r="H413" s="247"/>
      <c r="I413" s="194"/>
      <c r="J413" s="195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  <c r="AA413" s="168"/>
      <c r="AB413" s="168"/>
      <c r="AC413" s="168"/>
      <c r="AD413" s="168"/>
    </row>
    <row r="414" spans="1:30" ht="15.5">
      <c r="A414" s="149"/>
      <c r="B414" s="150"/>
      <c r="C414" s="150"/>
      <c r="D414" s="150"/>
      <c r="E414" s="146"/>
      <c r="F414" s="194"/>
      <c r="G414" s="263"/>
      <c r="H414" s="247"/>
      <c r="I414" s="194"/>
      <c r="J414" s="195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  <c r="AA414" s="168"/>
      <c r="AB414" s="168"/>
      <c r="AC414" s="168"/>
      <c r="AD414" s="168"/>
    </row>
    <row r="415" spans="1:30" s="487" customFormat="1" ht="15.5">
      <c r="A415" s="489"/>
      <c r="B415" s="490"/>
      <c r="C415" s="490"/>
      <c r="D415" s="490"/>
      <c r="E415" s="491"/>
      <c r="F415" s="492"/>
      <c r="G415" s="493"/>
      <c r="H415" s="494"/>
      <c r="I415" s="492"/>
      <c r="J415" s="495"/>
      <c r="K415" s="486"/>
      <c r="L415" s="486"/>
      <c r="M415" s="486"/>
      <c r="N415" s="486"/>
      <c r="O415" s="486"/>
      <c r="P415" s="486"/>
      <c r="Q415" s="486"/>
      <c r="R415" s="486"/>
      <c r="S415" s="486"/>
      <c r="T415" s="486"/>
      <c r="U415" s="486"/>
      <c r="V415" s="486"/>
      <c r="W415" s="486"/>
      <c r="X415" s="486"/>
      <c r="Y415" s="486"/>
      <c r="Z415" s="486"/>
      <c r="AA415" s="486"/>
      <c r="AB415" s="486"/>
      <c r="AC415" s="486"/>
      <c r="AD415" s="486"/>
    </row>
    <row r="416" spans="1:30" s="488" customFormat="1" ht="15.75" customHeight="1">
      <c r="A416"/>
      <c r="B416"/>
      <c r="C416"/>
      <c r="D416"/>
      <c r="E416"/>
      <c r="F416"/>
      <c r="G416"/>
      <c r="H416"/>
      <c r="I416"/>
      <c r="J416"/>
    </row>
  </sheetData>
  <mergeCells count="7">
    <mergeCell ref="A1:J1"/>
    <mergeCell ref="A2:J2"/>
    <mergeCell ref="A3:J3"/>
    <mergeCell ref="A4:D4"/>
    <mergeCell ref="E4:F4"/>
    <mergeCell ref="I4:I5"/>
    <mergeCell ref="J4:J5"/>
  </mergeCells>
  <phoneticPr fontId="30" type="noConversion"/>
  <printOptions horizontalCentered="1"/>
  <pageMargins left="0.25" right="0.25" top="0.75" bottom="0.75" header="0" footer="0"/>
  <pageSetup paperSize="9" pageOrder="overThenDown" orientation="portrait" cellComments="atEnd"/>
  <headerFooter>
    <oddFooter>&amp;L&amp;A&amp;R&amp;P</oddFooter>
  </headerFooter>
  <rowBreaks count="8" manualBreakCount="8">
    <brk id="64" man="1"/>
    <brk id="391" man="1"/>
    <brk id="169" man="1"/>
    <brk id="73" man="1"/>
    <brk id="346" man="1"/>
    <brk id="28" man="1"/>
    <brk id="190" man="1"/>
    <brk id="47" man="1"/>
  </rowBreaks>
  <colBreaks count="1" manualBreakCount="1">
    <brk id="1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2"/>
  <sheetViews>
    <sheetView workbookViewId="0"/>
  </sheetViews>
  <sheetFormatPr defaultColWidth="12.6328125" defaultRowHeight="15.75" customHeight="1"/>
  <cols>
    <col min="1" max="1" width="4.7265625" customWidth="1"/>
    <col min="2" max="2" width="4" customWidth="1"/>
    <col min="3" max="3" width="5.6328125" customWidth="1"/>
    <col min="4" max="26" width="12.6328125" customWidth="1"/>
  </cols>
  <sheetData>
    <row r="1" spans="1:7" ht="15.75" customHeight="1">
      <c r="A1" s="171">
        <v>1201</v>
      </c>
      <c r="B1" s="171" t="s">
        <v>126</v>
      </c>
      <c r="C1" s="171">
        <v>16800</v>
      </c>
      <c r="E1" s="171" t="s">
        <v>445</v>
      </c>
      <c r="F1" s="171" t="s">
        <v>446</v>
      </c>
    </row>
    <row r="2" spans="1:7" ht="15.75" customHeight="1">
      <c r="A2" s="171">
        <v>1301</v>
      </c>
      <c r="B2" s="171" t="s">
        <v>338</v>
      </c>
      <c r="C2" s="171">
        <v>3040</v>
      </c>
      <c r="E2" s="171" t="s">
        <v>447</v>
      </c>
      <c r="F2" s="389">
        <v>45000</v>
      </c>
      <c r="G2" s="389" t="s">
        <v>448</v>
      </c>
    </row>
    <row r="3" spans="1:7" ht="15.75" customHeight="1">
      <c r="B3" s="171" t="s">
        <v>183</v>
      </c>
      <c r="C3" s="171">
        <v>300</v>
      </c>
      <c r="G3" s="171" t="s">
        <v>449</v>
      </c>
    </row>
    <row r="4" spans="1:7" ht="15.75" customHeight="1">
      <c r="A4" s="171">
        <v>1402</v>
      </c>
      <c r="C4" s="171">
        <v>6500</v>
      </c>
    </row>
    <row r="5" spans="1:7" ht="15.75" customHeight="1">
      <c r="A5" s="171">
        <v>1432</v>
      </c>
      <c r="C5" s="171">
        <v>6800</v>
      </c>
    </row>
    <row r="6" spans="1:7" ht="15.75" customHeight="1">
      <c r="A6" s="171">
        <v>1613</v>
      </c>
      <c r="C6" s="171">
        <v>15000</v>
      </c>
    </row>
    <row r="7" spans="1:7" ht="15.75" customHeight="1">
      <c r="A7" s="171">
        <v>1633</v>
      </c>
      <c r="C7" s="171">
        <v>15000</v>
      </c>
    </row>
    <row r="12" spans="1:7" ht="15.75" customHeight="1">
      <c r="C12" s="171">
        <f>SUM(C1:C11)</f>
        <v>63440</v>
      </c>
    </row>
  </sheetData>
  <phoneticPr fontId="3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表1｜綜計表</vt:lpstr>
      <vt:lpstr>表2｜主要表</vt:lpstr>
      <vt:lpstr>表3-1｜期入預算附屬表</vt:lpstr>
      <vt:lpstr>表3-2｜期出預算附屬表</vt:lpstr>
      <vt:lpstr>可以砍的地方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 Lei</cp:lastModifiedBy>
  <dcterms:modified xsi:type="dcterms:W3CDTF">2025-10-10T17:06:26Z</dcterms:modified>
</cp:coreProperties>
</file>