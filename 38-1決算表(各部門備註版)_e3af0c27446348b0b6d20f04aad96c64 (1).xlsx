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691D1C42-854E-4584-9486-64E1D96506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表1｜綜計表" sheetId="1" r:id="rId1"/>
    <sheet name="表2｜主要表" sheetId="2" r:id="rId2"/>
    <sheet name="表3-1｜期入決算附屬表" sheetId="3" r:id="rId3"/>
    <sheet name="表3-2｜期出決算附屬表" sheetId="4" r:id="rId4"/>
    <sheet name="可以砍的地方" sheetId="5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+CP+thaKUz1FYc1vmEkUX+wN+I44VEtsImrYAEa2PDo="/>
    </ext>
  </extLst>
</workbook>
</file>

<file path=xl/calcChain.xml><?xml version="1.0" encoding="utf-8"?>
<calcChain xmlns="http://schemas.openxmlformats.org/spreadsheetml/2006/main">
  <c r="C12" i="5" l="1"/>
  <c r="L443" i="4"/>
  <c r="K443" i="4"/>
  <c r="L442" i="4"/>
  <c r="K442" i="4"/>
  <c r="L441" i="4"/>
  <c r="K441" i="4"/>
  <c r="L440" i="4"/>
  <c r="K440" i="4"/>
  <c r="L439" i="4"/>
  <c r="K439" i="4"/>
  <c r="L438" i="4"/>
  <c r="K438" i="4"/>
  <c r="L437" i="4"/>
  <c r="K437" i="4"/>
  <c r="L436" i="4"/>
  <c r="K436" i="4"/>
  <c r="L435" i="4"/>
  <c r="K435" i="4"/>
  <c r="L434" i="4"/>
  <c r="K434" i="4"/>
  <c r="L431" i="4"/>
  <c r="K431" i="4"/>
  <c r="L430" i="4"/>
  <c r="K430" i="4"/>
  <c r="K429" i="4"/>
  <c r="I429" i="4"/>
  <c r="G429" i="4"/>
  <c r="G428" i="4"/>
  <c r="G427" i="4"/>
  <c r="L423" i="4"/>
  <c r="K423" i="4"/>
  <c r="L422" i="4"/>
  <c r="K422" i="4"/>
  <c r="K421" i="4"/>
  <c r="K418" i="4"/>
  <c r="L417" i="4"/>
  <c r="K417" i="4"/>
  <c r="L416" i="4"/>
  <c r="K416" i="4"/>
  <c r="K415" i="4"/>
  <c r="L414" i="4"/>
  <c r="K414" i="4"/>
  <c r="L412" i="4"/>
  <c r="K412" i="4"/>
  <c r="K411" i="4"/>
  <c r="I411" i="4"/>
  <c r="G411" i="4"/>
  <c r="L410" i="4"/>
  <c r="K410" i="4"/>
  <c r="L408" i="4"/>
  <c r="K408" i="4"/>
  <c r="K407" i="4"/>
  <c r="I407" i="4"/>
  <c r="G407" i="4"/>
  <c r="L406" i="4"/>
  <c r="K406" i="4"/>
  <c r="L405" i="4"/>
  <c r="K405" i="4"/>
  <c r="L404" i="4"/>
  <c r="K404" i="4"/>
  <c r="L403" i="4"/>
  <c r="K403" i="4"/>
  <c r="L402" i="4"/>
  <c r="K402" i="4"/>
  <c r="K401" i="4"/>
  <c r="I401" i="4"/>
  <c r="G401" i="4"/>
  <c r="L400" i="4"/>
  <c r="K400" i="4"/>
  <c r="L399" i="4"/>
  <c r="K399" i="4"/>
  <c r="L398" i="4"/>
  <c r="K398" i="4"/>
  <c r="L397" i="4"/>
  <c r="K397" i="4"/>
  <c r="L396" i="4"/>
  <c r="K396" i="4"/>
  <c r="K395" i="4"/>
  <c r="I395" i="4"/>
  <c r="G395" i="4"/>
  <c r="L394" i="4"/>
  <c r="K394" i="4"/>
  <c r="L393" i="4"/>
  <c r="K393" i="4"/>
  <c r="L391" i="4"/>
  <c r="K391" i="4"/>
  <c r="L390" i="4"/>
  <c r="K390" i="4"/>
  <c r="L389" i="4"/>
  <c r="K389" i="4"/>
  <c r="L388" i="4"/>
  <c r="K388" i="4"/>
  <c r="K387" i="4"/>
  <c r="I387" i="4"/>
  <c r="G387" i="4"/>
  <c r="L386" i="4"/>
  <c r="K386" i="4"/>
  <c r="J386" i="4"/>
  <c r="H386" i="4"/>
  <c r="L385" i="4"/>
  <c r="K385" i="4"/>
  <c r="J385" i="4"/>
  <c r="H385" i="4"/>
  <c r="L384" i="4"/>
  <c r="K384" i="4"/>
  <c r="K367" i="4" s="1"/>
  <c r="K366" i="4" s="1"/>
  <c r="K365" i="4" s="1"/>
  <c r="L382" i="4"/>
  <c r="K382" i="4"/>
  <c r="L380" i="4"/>
  <c r="K380" i="4"/>
  <c r="L378" i="4"/>
  <c r="K378" i="4"/>
  <c r="L377" i="4"/>
  <c r="K377" i="4"/>
  <c r="L375" i="4"/>
  <c r="K375" i="4"/>
  <c r="L368" i="4"/>
  <c r="K368" i="4"/>
  <c r="I367" i="4"/>
  <c r="G367" i="4"/>
  <c r="I366" i="4"/>
  <c r="J366" i="4" s="1"/>
  <c r="J105" i="2" s="1"/>
  <c r="I22" i="1" s="1"/>
  <c r="I365" i="4"/>
  <c r="K361" i="4"/>
  <c r="L360" i="4"/>
  <c r="K360" i="4"/>
  <c r="L357" i="4"/>
  <c r="K357" i="4"/>
  <c r="K356" i="4"/>
  <c r="I356" i="4"/>
  <c r="G356" i="4"/>
  <c r="L353" i="4"/>
  <c r="K353" i="4"/>
  <c r="K352" i="4"/>
  <c r="I352" i="4"/>
  <c r="J353" i="4" s="1"/>
  <c r="G352" i="4"/>
  <c r="L349" i="4"/>
  <c r="K349" i="4"/>
  <c r="K348" i="4"/>
  <c r="I348" i="4"/>
  <c r="G348" i="4"/>
  <c r="L345" i="4"/>
  <c r="K345" i="4"/>
  <c r="K344" i="4"/>
  <c r="I344" i="4"/>
  <c r="G344" i="4"/>
  <c r="L343" i="4"/>
  <c r="K343" i="4"/>
  <c r="K342" i="4"/>
  <c r="I342" i="4"/>
  <c r="G342" i="4"/>
  <c r="K341" i="4"/>
  <c r="I341" i="4"/>
  <c r="G341" i="4"/>
  <c r="L337" i="4"/>
  <c r="K337" i="4"/>
  <c r="L336" i="4"/>
  <c r="K336" i="4"/>
  <c r="L335" i="4"/>
  <c r="K335" i="4"/>
  <c r="L334" i="4"/>
  <c r="K334" i="4"/>
  <c r="L332" i="4"/>
  <c r="K332" i="4"/>
  <c r="L330" i="4"/>
  <c r="K330" i="4"/>
  <c r="L328" i="4"/>
  <c r="K328" i="4"/>
  <c r="L327" i="4"/>
  <c r="K327" i="4"/>
  <c r="L325" i="4"/>
  <c r="K325" i="4"/>
  <c r="K324" i="4"/>
  <c r="K308" i="4" s="1"/>
  <c r="I324" i="4"/>
  <c r="G324" i="4"/>
  <c r="L323" i="4"/>
  <c r="K323" i="4"/>
  <c r="L322" i="4"/>
  <c r="K322" i="4"/>
  <c r="L321" i="4"/>
  <c r="K321" i="4"/>
  <c r="L320" i="4"/>
  <c r="K320" i="4"/>
  <c r="L319" i="4"/>
  <c r="K319" i="4"/>
  <c r="L317" i="4"/>
  <c r="K317" i="4"/>
  <c r="K316" i="4"/>
  <c r="I316" i="4"/>
  <c r="G316" i="4"/>
  <c r="L315" i="4"/>
  <c r="K315" i="4"/>
  <c r="L314" i="4"/>
  <c r="K314" i="4"/>
  <c r="L313" i="4"/>
  <c r="K313" i="4"/>
  <c r="L312" i="4"/>
  <c r="K312" i="4"/>
  <c r="L310" i="4"/>
  <c r="K310" i="4"/>
  <c r="K309" i="4"/>
  <c r="I309" i="4"/>
  <c r="G309" i="4"/>
  <c r="I308" i="4"/>
  <c r="G308" i="4"/>
  <c r="L307" i="4"/>
  <c r="K307" i="4"/>
  <c r="K302" i="4" s="1"/>
  <c r="K294" i="4" s="1"/>
  <c r="K287" i="4" s="1"/>
  <c r="L306" i="4"/>
  <c r="K306" i="4"/>
  <c r="L305" i="4"/>
  <c r="K305" i="4"/>
  <c r="L304" i="4"/>
  <c r="K304" i="4"/>
  <c r="L303" i="4"/>
  <c r="K303" i="4"/>
  <c r="I302" i="4"/>
  <c r="G302" i="4"/>
  <c r="L301" i="4"/>
  <c r="K301" i="4"/>
  <c r="L300" i="4"/>
  <c r="K300" i="4"/>
  <c r="L299" i="4"/>
  <c r="K299" i="4"/>
  <c r="L298" i="4"/>
  <c r="K298" i="4"/>
  <c r="L297" i="4"/>
  <c r="K297" i="4"/>
  <c r="L296" i="4"/>
  <c r="K296" i="4"/>
  <c r="K295" i="4"/>
  <c r="I295" i="4"/>
  <c r="G295" i="4"/>
  <c r="I294" i="4"/>
  <c r="J294" i="4" s="1"/>
  <c r="G294" i="4"/>
  <c r="L292" i="4"/>
  <c r="K292" i="4"/>
  <c r="L290" i="4"/>
  <c r="K290" i="4"/>
  <c r="L289" i="4"/>
  <c r="K289" i="4"/>
  <c r="K288" i="4"/>
  <c r="I288" i="4"/>
  <c r="G288" i="4"/>
  <c r="I287" i="4"/>
  <c r="G287" i="4"/>
  <c r="L281" i="4"/>
  <c r="K281" i="4"/>
  <c r="K280" i="4"/>
  <c r="I280" i="4"/>
  <c r="G280" i="4"/>
  <c r="L279" i="4"/>
  <c r="K279" i="4"/>
  <c r="L278" i="4"/>
  <c r="K278" i="4"/>
  <c r="K277" i="4"/>
  <c r="I277" i="4"/>
  <c r="G277" i="4"/>
  <c r="L276" i="4"/>
  <c r="K276" i="4"/>
  <c r="L275" i="4"/>
  <c r="K275" i="4"/>
  <c r="L274" i="4"/>
  <c r="K274" i="4"/>
  <c r="L273" i="4"/>
  <c r="K273" i="4"/>
  <c r="L271" i="4"/>
  <c r="K271" i="4"/>
  <c r="K256" i="4" s="1"/>
  <c r="L270" i="4"/>
  <c r="K270" i="4"/>
  <c r="L266" i="4"/>
  <c r="K266" i="4"/>
  <c r="L265" i="4"/>
  <c r="K265" i="4"/>
  <c r="L264" i="4"/>
  <c r="K264" i="4"/>
  <c r="L257" i="4"/>
  <c r="K257" i="4"/>
  <c r="I256" i="4"/>
  <c r="G256" i="4"/>
  <c r="L255" i="4"/>
  <c r="K255" i="4"/>
  <c r="L253" i="4"/>
  <c r="K253" i="4"/>
  <c r="L250" i="4"/>
  <c r="K250" i="4"/>
  <c r="L248" i="4"/>
  <c r="K248" i="4"/>
  <c r="L247" i="4"/>
  <c r="K247" i="4"/>
  <c r="L241" i="4"/>
  <c r="K241" i="4"/>
  <c r="K240" i="4"/>
  <c r="I240" i="4"/>
  <c r="G240" i="4"/>
  <c r="G239" i="4"/>
  <c r="L234" i="4"/>
  <c r="K234" i="4"/>
  <c r="L232" i="4"/>
  <c r="K232" i="4"/>
  <c r="K231" i="4"/>
  <c r="I231" i="4"/>
  <c r="G231" i="4"/>
  <c r="L229" i="4"/>
  <c r="K229" i="4"/>
  <c r="K228" i="4"/>
  <c r="I228" i="4"/>
  <c r="G228" i="4"/>
  <c r="L227" i="4"/>
  <c r="K227" i="4"/>
  <c r="L225" i="4"/>
  <c r="K225" i="4"/>
  <c r="L223" i="4"/>
  <c r="K223" i="4"/>
  <c r="L222" i="4"/>
  <c r="K222" i="4"/>
  <c r="K221" i="4"/>
  <c r="I221" i="4"/>
  <c r="G221" i="4"/>
  <c r="L214" i="4"/>
  <c r="K214" i="4"/>
  <c r="L213" i="4"/>
  <c r="K213" i="4"/>
  <c r="L212" i="4"/>
  <c r="K212" i="4"/>
  <c r="L211" i="4"/>
  <c r="K211" i="4"/>
  <c r="L206" i="4"/>
  <c r="K206" i="4"/>
  <c r="K205" i="4"/>
  <c r="I205" i="4"/>
  <c r="G205" i="4"/>
  <c r="L203" i="4"/>
  <c r="K203" i="4"/>
  <c r="L202" i="4"/>
  <c r="K202" i="4"/>
  <c r="L201" i="4"/>
  <c r="K201" i="4"/>
  <c r="L200" i="4"/>
  <c r="K200" i="4"/>
  <c r="L196" i="4"/>
  <c r="K196" i="4"/>
  <c r="L195" i="4"/>
  <c r="K195" i="4"/>
  <c r="L194" i="4"/>
  <c r="K194" i="4"/>
  <c r="K193" i="4"/>
  <c r="I193" i="4"/>
  <c r="G193" i="4"/>
  <c r="L191" i="4"/>
  <c r="K191" i="4"/>
  <c r="K183" i="4" s="1"/>
  <c r="J191" i="4"/>
  <c r="H191" i="4"/>
  <c r="L190" i="4"/>
  <c r="K190" i="4"/>
  <c r="L189" i="4"/>
  <c r="K189" i="4"/>
  <c r="L188" i="4"/>
  <c r="K188" i="4"/>
  <c r="L185" i="4"/>
  <c r="K185" i="4"/>
  <c r="L184" i="4"/>
  <c r="K184" i="4"/>
  <c r="I183" i="4"/>
  <c r="G183" i="4"/>
  <c r="L181" i="4"/>
  <c r="K181" i="4"/>
  <c r="K180" i="4"/>
  <c r="I180" i="4"/>
  <c r="G180" i="4"/>
  <c r="G179" i="4"/>
  <c r="L174" i="4"/>
  <c r="K174" i="4"/>
  <c r="L173" i="4"/>
  <c r="K173" i="4"/>
  <c r="L171" i="4"/>
  <c r="K171" i="4"/>
  <c r="L170" i="4"/>
  <c r="K170" i="4"/>
  <c r="K169" i="4"/>
  <c r="I169" i="4"/>
  <c r="G169" i="4"/>
  <c r="L167" i="4"/>
  <c r="K167" i="4"/>
  <c r="L166" i="4"/>
  <c r="K166" i="4"/>
  <c r="K165" i="4"/>
  <c r="I165" i="4"/>
  <c r="G165" i="4"/>
  <c r="L164" i="4"/>
  <c r="K164" i="4"/>
  <c r="L162" i="4"/>
  <c r="K162" i="4"/>
  <c r="L161" i="4"/>
  <c r="K161" i="4"/>
  <c r="K160" i="4"/>
  <c r="I160" i="4"/>
  <c r="G160" i="4"/>
  <c r="L159" i="4"/>
  <c r="K159" i="4"/>
  <c r="J159" i="4"/>
  <c r="H159" i="4"/>
  <c r="L158" i="4"/>
  <c r="K158" i="4"/>
  <c r="J158" i="4"/>
  <c r="H158" i="4"/>
  <c r="L156" i="4"/>
  <c r="K156" i="4"/>
  <c r="L155" i="4"/>
  <c r="K155" i="4"/>
  <c r="K154" i="4"/>
  <c r="I154" i="4"/>
  <c r="G154" i="4"/>
  <c r="L153" i="4"/>
  <c r="K153" i="4"/>
  <c r="K152" i="4"/>
  <c r="I152" i="4"/>
  <c r="G152" i="4"/>
  <c r="I151" i="4"/>
  <c r="G151" i="4"/>
  <c r="L150" i="4"/>
  <c r="K150" i="4"/>
  <c r="L149" i="4"/>
  <c r="K149" i="4"/>
  <c r="L148" i="4"/>
  <c r="K148" i="4"/>
  <c r="L147" i="4"/>
  <c r="K147" i="4"/>
  <c r="L146" i="4"/>
  <c r="K146" i="4"/>
  <c r="L143" i="4"/>
  <c r="K143" i="4"/>
  <c r="K142" i="4"/>
  <c r="I142" i="4"/>
  <c r="G142" i="4"/>
  <c r="L141" i="4"/>
  <c r="K141" i="4"/>
  <c r="K140" i="4"/>
  <c r="I140" i="4"/>
  <c r="G140" i="4"/>
  <c r="K139" i="4"/>
  <c r="I139" i="4"/>
  <c r="G139" i="4"/>
  <c r="L138" i="4"/>
  <c r="K138" i="4"/>
  <c r="L137" i="4"/>
  <c r="K137" i="4"/>
  <c r="L135" i="4"/>
  <c r="K135" i="4"/>
  <c r="L133" i="4"/>
  <c r="K133" i="4"/>
  <c r="L130" i="4"/>
  <c r="K130" i="4"/>
  <c r="K129" i="4"/>
  <c r="I129" i="4"/>
  <c r="G129" i="4"/>
  <c r="L126" i="4"/>
  <c r="K126" i="4"/>
  <c r="K123" i="4" s="1"/>
  <c r="K120" i="4" s="1"/>
  <c r="J126" i="4"/>
  <c r="H126" i="4"/>
  <c r="L124" i="4"/>
  <c r="K124" i="4"/>
  <c r="I123" i="4"/>
  <c r="G123" i="4"/>
  <c r="L122" i="4"/>
  <c r="K122" i="4"/>
  <c r="K121" i="4"/>
  <c r="I121" i="4"/>
  <c r="G120" i="4"/>
  <c r="L119" i="4"/>
  <c r="K119" i="4"/>
  <c r="L118" i="4"/>
  <c r="K118" i="4"/>
  <c r="L117" i="4"/>
  <c r="K117" i="4"/>
  <c r="L115" i="4"/>
  <c r="K115" i="4"/>
  <c r="L113" i="4"/>
  <c r="K113" i="4"/>
  <c r="K112" i="4"/>
  <c r="I112" i="4"/>
  <c r="G112" i="4"/>
  <c r="L110" i="4"/>
  <c r="K110" i="4"/>
  <c r="L109" i="4"/>
  <c r="K109" i="4"/>
  <c r="K108" i="4"/>
  <c r="I108" i="4"/>
  <c r="G108" i="4"/>
  <c r="L105" i="4"/>
  <c r="K105" i="4"/>
  <c r="L104" i="4"/>
  <c r="K104" i="4"/>
  <c r="L100" i="4"/>
  <c r="K100" i="4"/>
  <c r="L98" i="4"/>
  <c r="K98" i="4"/>
  <c r="K97" i="4"/>
  <c r="I97" i="4"/>
  <c r="G97" i="4"/>
  <c r="L95" i="4"/>
  <c r="K95" i="4"/>
  <c r="L94" i="4"/>
  <c r="K94" i="4"/>
  <c r="K93" i="4"/>
  <c r="I93" i="4"/>
  <c r="G93" i="4"/>
  <c r="L92" i="4"/>
  <c r="K92" i="4"/>
  <c r="L91" i="4"/>
  <c r="K91" i="4"/>
  <c r="L90" i="4"/>
  <c r="K90" i="4"/>
  <c r="K89" i="4"/>
  <c r="K85" i="4" s="1"/>
  <c r="I89" i="4"/>
  <c r="G89" i="4"/>
  <c r="L87" i="4"/>
  <c r="K87" i="4"/>
  <c r="K86" i="4"/>
  <c r="I86" i="4"/>
  <c r="G86" i="4"/>
  <c r="I85" i="4"/>
  <c r="G85" i="4"/>
  <c r="L83" i="4"/>
  <c r="K83" i="4"/>
  <c r="K82" i="4"/>
  <c r="I82" i="4"/>
  <c r="G82" i="4"/>
  <c r="L74" i="4"/>
  <c r="K74" i="4"/>
  <c r="L73" i="4"/>
  <c r="K73" i="4"/>
  <c r="K72" i="4"/>
  <c r="I72" i="4"/>
  <c r="G72" i="4"/>
  <c r="L71" i="4"/>
  <c r="K71" i="4"/>
  <c r="L70" i="4"/>
  <c r="K70" i="4"/>
  <c r="L69" i="4"/>
  <c r="K69" i="4"/>
  <c r="K68" i="4"/>
  <c r="I68" i="4"/>
  <c r="G68" i="4"/>
  <c r="G66" i="4"/>
  <c r="L61" i="4"/>
  <c r="K61" i="4"/>
  <c r="L60" i="4"/>
  <c r="K60" i="4"/>
  <c r="L59" i="4"/>
  <c r="K59" i="4"/>
  <c r="L57" i="4"/>
  <c r="K57" i="4"/>
  <c r="L54" i="4"/>
  <c r="K54" i="4"/>
  <c r="K53" i="4"/>
  <c r="I53" i="4"/>
  <c r="G53" i="4"/>
  <c r="G52" i="4"/>
  <c r="L47" i="4"/>
  <c r="K47" i="4"/>
  <c r="L46" i="4"/>
  <c r="K46" i="4"/>
  <c r="L45" i="4"/>
  <c r="K45" i="4"/>
  <c r="L44" i="4"/>
  <c r="K44" i="4"/>
  <c r="L43" i="4"/>
  <c r="K43" i="4"/>
  <c r="L42" i="4"/>
  <c r="K42" i="4"/>
  <c r="L41" i="4"/>
  <c r="K41" i="4"/>
  <c r="L40" i="4"/>
  <c r="K40" i="4"/>
  <c r="L39" i="4"/>
  <c r="K39" i="4"/>
  <c r="L35" i="4"/>
  <c r="K35" i="4"/>
  <c r="K34" i="4"/>
  <c r="I34" i="4"/>
  <c r="G34" i="4"/>
  <c r="G33" i="4"/>
  <c r="L27" i="4"/>
  <c r="K27" i="4"/>
  <c r="L26" i="4"/>
  <c r="K26" i="4"/>
  <c r="L25" i="4"/>
  <c r="K25" i="4"/>
  <c r="K24" i="4"/>
  <c r="I24" i="4"/>
  <c r="G24" i="4"/>
  <c r="L22" i="4"/>
  <c r="K22" i="4"/>
  <c r="L21" i="4"/>
  <c r="K21" i="4"/>
  <c r="L20" i="4"/>
  <c r="K20" i="4"/>
  <c r="L19" i="4"/>
  <c r="K19" i="4"/>
  <c r="L17" i="4"/>
  <c r="K17" i="4"/>
  <c r="L16" i="4"/>
  <c r="K16" i="4"/>
  <c r="L13" i="4"/>
  <c r="K13" i="4"/>
  <c r="K12" i="4"/>
  <c r="I12" i="4"/>
  <c r="G12" i="4"/>
  <c r="G11" i="4"/>
  <c r="K146" i="3"/>
  <c r="K144" i="3"/>
  <c r="I142" i="3"/>
  <c r="G115" i="2" s="1"/>
  <c r="F25" i="1" s="1"/>
  <c r="I140" i="3"/>
  <c r="K138" i="3"/>
  <c r="K137" i="3"/>
  <c r="K136" i="3"/>
  <c r="K135" i="3"/>
  <c r="K134" i="3"/>
  <c r="K133" i="3"/>
  <c r="K132" i="3"/>
  <c r="K125" i="3"/>
  <c r="K124" i="3"/>
  <c r="K123" i="3"/>
  <c r="K122" i="3"/>
  <c r="K121" i="3"/>
  <c r="J119" i="3"/>
  <c r="K117" i="3"/>
  <c r="L115" i="3"/>
  <c r="K115" i="3"/>
  <c r="G114" i="3"/>
  <c r="L113" i="3"/>
  <c r="K113" i="3"/>
  <c r="G112" i="3"/>
  <c r="L111" i="3"/>
  <c r="K111" i="3"/>
  <c r="J111" i="3"/>
  <c r="G110" i="3"/>
  <c r="G109" i="3"/>
  <c r="L107" i="3"/>
  <c r="K107" i="3"/>
  <c r="G106" i="3"/>
  <c r="L105" i="3"/>
  <c r="K105" i="3"/>
  <c r="G104" i="3"/>
  <c r="G103" i="3"/>
  <c r="K101" i="3"/>
  <c r="I99" i="3"/>
  <c r="J99" i="3" s="1"/>
  <c r="K97" i="3"/>
  <c r="K95" i="3"/>
  <c r="K94" i="3"/>
  <c r="L93" i="3"/>
  <c r="K93" i="3"/>
  <c r="G92" i="3"/>
  <c r="L91" i="3"/>
  <c r="K91" i="3"/>
  <c r="G90" i="3"/>
  <c r="I88" i="3"/>
  <c r="G88" i="3"/>
  <c r="K86" i="3"/>
  <c r="K85" i="3"/>
  <c r="K84" i="3"/>
  <c r="K83" i="3"/>
  <c r="K76" i="3"/>
  <c r="K75" i="3"/>
  <c r="L73" i="3"/>
  <c r="K73" i="3"/>
  <c r="K72" i="3"/>
  <c r="I72" i="3"/>
  <c r="G72" i="3"/>
  <c r="K71" i="3"/>
  <c r="K69" i="3"/>
  <c r="I69" i="3"/>
  <c r="G69" i="3"/>
  <c r="K67" i="3"/>
  <c r="K65" i="3"/>
  <c r="K64" i="3"/>
  <c r="K63" i="3"/>
  <c r="K62" i="3"/>
  <c r="K61" i="3"/>
  <c r="K60" i="3"/>
  <c r="K58" i="3"/>
  <c r="K57" i="3"/>
  <c r="K56" i="3"/>
  <c r="K55" i="3"/>
  <c r="K52" i="3"/>
  <c r="K51" i="3"/>
  <c r="K50" i="3"/>
  <c r="K48" i="3"/>
  <c r="K47" i="3"/>
  <c r="K46" i="3"/>
  <c r="K45" i="3"/>
  <c r="K44" i="3"/>
  <c r="K43" i="3"/>
  <c r="K42" i="3"/>
  <c r="K40" i="3"/>
  <c r="K36" i="3"/>
  <c r="L35" i="3"/>
  <c r="K35" i="3"/>
  <c r="K34" i="3"/>
  <c r="K32" i="3"/>
  <c r="I32" i="3"/>
  <c r="G32" i="3"/>
  <c r="K30" i="3"/>
  <c r="K29" i="3"/>
  <c r="K25" i="3"/>
  <c r="K24" i="3"/>
  <c r="K20" i="3"/>
  <c r="K19" i="3"/>
  <c r="L17" i="3"/>
  <c r="K17" i="3"/>
  <c r="J17" i="3"/>
  <c r="H17" i="3"/>
  <c r="K16" i="3"/>
  <c r="J16" i="3"/>
  <c r="H16" i="3"/>
  <c r="K15" i="3"/>
  <c r="J15" i="3"/>
  <c r="H15" i="3"/>
  <c r="L14" i="3"/>
  <c r="K14" i="3"/>
  <c r="H14" i="3"/>
  <c r="L13" i="3"/>
  <c r="K13" i="3"/>
  <c r="I13" i="3"/>
  <c r="G13" i="3"/>
  <c r="H13" i="3" s="1"/>
  <c r="K11" i="3"/>
  <c r="I11" i="3"/>
  <c r="G11" i="3"/>
  <c r="I9" i="3"/>
  <c r="J117" i="2"/>
  <c r="H117" i="2"/>
  <c r="G117" i="2"/>
  <c r="K117" i="2" s="1"/>
  <c r="I116" i="2"/>
  <c r="K116" i="2" s="1"/>
  <c r="H116" i="2"/>
  <c r="G116" i="2"/>
  <c r="I115" i="2"/>
  <c r="H25" i="1" s="1"/>
  <c r="H115" i="2"/>
  <c r="G25" i="1" s="1"/>
  <c r="I114" i="2"/>
  <c r="H24" i="1" s="1"/>
  <c r="I112" i="2"/>
  <c r="K112" i="2" s="1"/>
  <c r="G112" i="2"/>
  <c r="I106" i="2"/>
  <c r="K106" i="2" s="1"/>
  <c r="G105" i="2"/>
  <c r="F22" i="1" s="1"/>
  <c r="G104" i="2"/>
  <c r="K102" i="2"/>
  <c r="G95" i="2"/>
  <c r="I83" i="2"/>
  <c r="K83" i="2" s="1"/>
  <c r="H83" i="2"/>
  <c r="G83" i="2"/>
  <c r="H82" i="2"/>
  <c r="G82" i="2"/>
  <c r="H81" i="2"/>
  <c r="G81" i="2"/>
  <c r="K75" i="2"/>
  <c r="H74" i="2"/>
  <c r="G74" i="2"/>
  <c r="I73" i="2"/>
  <c r="K73" i="2" s="1"/>
  <c r="H73" i="2"/>
  <c r="G73" i="2"/>
  <c r="I72" i="2"/>
  <c r="K72" i="2" s="1"/>
  <c r="H72" i="2"/>
  <c r="G72" i="2"/>
  <c r="K68" i="2"/>
  <c r="H67" i="2"/>
  <c r="G67" i="2"/>
  <c r="H66" i="2"/>
  <c r="G66" i="2"/>
  <c r="I65" i="2"/>
  <c r="I64" i="2"/>
  <c r="K64" i="2" s="1"/>
  <c r="I60" i="2"/>
  <c r="K60" i="2" s="1"/>
  <c r="H60" i="2"/>
  <c r="G60" i="2"/>
  <c r="H59" i="2"/>
  <c r="G59" i="2"/>
  <c r="H58" i="2"/>
  <c r="G58" i="2"/>
  <c r="H57" i="2"/>
  <c r="G57" i="2"/>
  <c r="H56" i="2"/>
  <c r="G56" i="2"/>
  <c r="H55" i="2"/>
  <c r="G55" i="2"/>
  <c r="H54" i="2"/>
  <c r="G54" i="2"/>
  <c r="H52" i="2"/>
  <c r="G52" i="2"/>
  <c r="H51" i="2"/>
  <c r="G51" i="2"/>
  <c r="H50" i="2"/>
  <c r="G50" i="2"/>
  <c r="H49" i="2"/>
  <c r="G49" i="2"/>
  <c r="I48" i="2"/>
  <c r="K48" i="2" s="1"/>
  <c r="H48" i="2"/>
  <c r="G48" i="2"/>
  <c r="I47" i="2"/>
  <c r="K47" i="2" s="1"/>
  <c r="H47" i="2"/>
  <c r="G47" i="2"/>
  <c r="J46" i="2"/>
  <c r="I46" i="2"/>
  <c r="K46" i="2" s="1"/>
  <c r="H46" i="2"/>
  <c r="G46" i="2"/>
  <c r="H45" i="2"/>
  <c r="G45" i="2"/>
  <c r="I43" i="2"/>
  <c r="K43" i="2" s="1"/>
  <c r="H43" i="2"/>
  <c r="G43" i="2"/>
  <c r="H42" i="2"/>
  <c r="G42" i="2"/>
  <c r="H41" i="2"/>
  <c r="G41" i="2"/>
  <c r="H40" i="2"/>
  <c r="G40" i="2"/>
  <c r="H39" i="2"/>
  <c r="G39" i="2"/>
  <c r="H38" i="2"/>
  <c r="G38" i="2"/>
  <c r="H37" i="2"/>
  <c r="G37" i="2"/>
  <c r="G35" i="2"/>
  <c r="I31" i="2"/>
  <c r="K31" i="2" s="1"/>
  <c r="G31" i="2"/>
  <c r="G30" i="2"/>
  <c r="G29" i="2"/>
  <c r="G25" i="2"/>
  <c r="K25" i="2" s="1"/>
  <c r="G24" i="2"/>
  <c r="G22" i="2"/>
  <c r="K20" i="2"/>
  <c r="K15" i="2"/>
  <c r="G14" i="2"/>
  <c r="G13" i="2"/>
  <c r="G22" i="1"/>
  <c r="F16" i="1"/>
  <c r="F15" i="1"/>
  <c r="F12" i="1"/>
  <c r="I444" i="4" l="1"/>
  <c r="J443" i="4"/>
  <c r="J442" i="4"/>
  <c r="J441" i="4"/>
  <c r="J440" i="4"/>
  <c r="J439" i="4"/>
  <c r="J438" i="4"/>
  <c r="J437" i="4"/>
  <c r="J436" i="4"/>
  <c r="J435" i="4"/>
  <c r="J434" i="4"/>
  <c r="J431" i="4"/>
  <c r="J430" i="4"/>
  <c r="H443" i="4"/>
  <c r="H442" i="4"/>
  <c r="H438" i="4"/>
  <c r="H437" i="4"/>
  <c r="H436" i="4"/>
  <c r="H435" i="4"/>
  <c r="H434" i="4"/>
  <c r="H431" i="4"/>
  <c r="H430" i="4"/>
  <c r="L429" i="4"/>
  <c r="H429" i="4"/>
  <c r="J116" i="2" s="1"/>
  <c r="H428" i="4"/>
  <c r="J417" i="4"/>
  <c r="J411" i="4"/>
  <c r="J412" i="4"/>
  <c r="J414" i="4"/>
  <c r="J422" i="4"/>
  <c r="J415" i="4"/>
  <c r="J421" i="4"/>
  <c r="J416" i="4"/>
  <c r="J418" i="4"/>
  <c r="G366" i="4"/>
  <c r="H411" i="4" s="1"/>
  <c r="J111" i="2" s="1"/>
  <c r="L411" i="4"/>
  <c r="H412" i="4"/>
  <c r="H414" i="4"/>
  <c r="H417" i="4"/>
  <c r="H422" i="4"/>
  <c r="H415" i="4"/>
  <c r="H416" i="4"/>
  <c r="H421" i="4"/>
  <c r="H418" i="4"/>
  <c r="I111" i="2"/>
  <c r="K111" i="2" s="1"/>
  <c r="J410" i="4"/>
  <c r="J408" i="4"/>
  <c r="J407" i="4"/>
  <c r="H407" i="4"/>
  <c r="J110" i="2" s="1"/>
  <c r="L407" i="4"/>
  <c r="I110" i="2"/>
  <c r="K110" i="2" s="1"/>
  <c r="J406" i="4"/>
  <c r="J405" i="4"/>
  <c r="J403" i="4"/>
  <c r="J402" i="4"/>
  <c r="J404" i="4"/>
  <c r="J401" i="4"/>
  <c r="H403" i="4"/>
  <c r="H406" i="4"/>
  <c r="H404" i="4"/>
  <c r="H405" i="4"/>
  <c r="I109" i="2"/>
  <c r="K109" i="2" s="1"/>
  <c r="H402" i="4"/>
  <c r="H401" i="4"/>
  <c r="J109" i="2" s="1"/>
  <c r="L401" i="4"/>
  <c r="J395" i="4"/>
  <c r="J396" i="4"/>
  <c r="J397" i="4"/>
  <c r="J398" i="4"/>
  <c r="J400" i="4"/>
  <c r="J399" i="4"/>
  <c r="H397" i="4"/>
  <c r="H396" i="4"/>
  <c r="H398" i="4"/>
  <c r="H399" i="4"/>
  <c r="H400" i="4"/>
  <c r="H395" i="4"/>
  <c r="J108" i="2" s="1"/>
  <c r="I108" i="2"/>
  <c r="K108" i="2" s="1"/>
  <c r="L395" i="4"/>
  <c r="J388" i="4"/>
  <c r="J389" i="4"/>
  <c r="J390" i="4"/>
  <c r="J394" i="4"/>
  <c r="J387" i="4"/>
  <c r="J391" i="4"/>
  <c r="J393" i="4"/>
  <c r="L387" i="4"/>
  <c r="H388" i="4"/>
  <c r="H389" i="4"/>
  <c r="H390" i="4"/>
  <c r="H391" i="4"/>
  <c r="H394" i="4"/>
  <c r="H393" i="4"/>
  <c r="I107" i="2"/>
  <c r="K107" i="2" s="1"/>
  <c r="H387" i="4"/>
  <c r="J107" i="2" s="1"/>
  <c r="J377" i="4"/>
  <c r="J375" i="4"/>
  <c r="J368" i="4"/>
  <c r="J367" i="4"/>
  <c r="J384" i="4"/>
  <c r="J382" i="4"/>
  <c r="J380" i="4"/>
  <c r="J378" i="4"/>
  <c r="H380" i="4"/>
  <c r="H367" i="4"/>
  <c r="J106" i="2" s="1"/>
  <c r="L367" i="4"/>
  <c r="H368" i="4"/>
  <c r="H375" i="4"/>
  <c r="H377" i="4"/>
  <c r="H378" i="4"/>
  <c r="H382" i="4"/>
  <c r="H384" i="4"/>
  <c r="J423" i="4"/>
  <c r="J360" i="4"/>
  <c r="J357" i="4"/>
  <c r="L356" i="4"/>
  <c r="I101" i="2"/>
  <c r="K101" i="2" s="1"/>
  <c r="H356" i="4"/>
  <c r="J101" i="2" s="1"/>
  <c r="H357" i="4"/>
  <c r="H360" i="4"/>
  <c r="H352" i="4"/>
  <c r="J100" i="2" s="1"/>
  <c r="H353" i="4"/>
  <c r="L352" i="4"/>
  <c r="I100" i="2"/>
  <c r="K100" i="2" s="1"/>
  <c r="J349" i="4"/>
  <c r="J348" i="4"/>
  <c r="H349" i="4"/>
  <c r="H348" i="4"/>
  <c r="J99" i="2" s="1"/>
  <c r="L348" i="4"/>
  <c r="I99" i="2"/>
  <c r="K99" i="2" s="1"/>
  <c r="J344" i="4"/>
  <c r="J345" i="4"/>
  <c r="H345" i="4"/>
  <c r="H344" i="4"/>
  <c r="J98" i="2" s="1"/>
  <c r="L344" i="4"/>
  <c r="I98" i="2"/>
  <c r="K98" i="2" s="1"/>
  <c r="J343" i="4"/>
  <c r="J342" i="4"/>
  <c r="H342" i="4"/>
  <c r="J97" i="2" s="1"/>
  <c r="I97" i="2"/>
  <c r="K97" i="2" s="1"/>
  <c r="H343" i="4"/>
  <c r="J361" i="4"/>
  <c r="L341" i="4"/>
  <c r="I95" i="2"/>
  <c r="H19" i="1" s="1"/>
  <c r="H361" i="4"/>
  <c r="J334" i="4"/>
  <c r="J324" i="4"/>
  <c r="J332" i="4"/>
  <c r="J328" i="4"/>
  <c r="J327" i="4"/>
  <c r="J336" i="4"/>
  <c r="J330" i="4"/>
  <c r="J335" i="4"/>
  <c r="J325" i="4"/>
  <c r="H334" i="4"/>
  <c r="H336" i="4"/>
  <c r="H335" i="4"/>
  <c r="I93" i="2"/>
  <c r="K93" i="2" s="1"/>
  <c r="H325" i="4"/>
  <c r="H324" i="4"/>
  <c r="J93" i="2" s="1"/>
  <c r="H327" i="4"/>
  <c r="H328" i="4"/>
  <c r="H330" i="4"/>
  <c r="H332" i="4"/>
  <c r="L324" i="4"/>
  <c r="J323" i="4"/>
  <c r="J319" i="4"/>
  <c r="J316" i="4"/>
  <c r="J317" i="4"/>
  <c r="J320" i="4"/>
  <c r="J321" i="4"/>
  <c r="J322" i="4"/>
  <c r="H316" i="4"/>
  <c r="J92" i="2" s="1"/>
  <c r="I92" i="2"/>
  <c r="K92" i="2" s="1"/>
  <c r="L316" i="4"/>
  <c r="H321" i="4"/>
  <c r="H317" i="4"/>
  <c r="H319" i="4"/>
  <c r="H320" i="4"/>
  <c r="H322" i="4"/>
  <c r="H323" i="4"/>
  <c r="J314" i="4"/>
  <c r="J313" i="4"/>
  <c r="J312" i="4"/>
  <c r="J310" i="4"/>
  <c r="J315" i="4"/>
  <c r="L309" i="4"/>
  <c r="H309" i="4"/>
  <c r="J91" i="2" s="1"/>
  <c r="I91" i="2"/>
  <c r="K91" i="2" s="1"/>
  <c r="H315" i="4"/>
  <c r="H314" i="4"/>
  <c r="H312" i="4"/>
  <c r="H310" i="4"/>
  <c r="H313" i="4"/>
  <c r="J308" i="4"/>
  <c r="J309" i="4"/>
  <c r="I90" i="2"/>
  <c r="H308" i="4"/>
  <c r="J90" i="2" s="1"/>
  <c r="L308" i="4"/>
  <c r="J302" i="4"/>
  <c r="J307" i="4"/>
  <c r="J306" i="4"/>
  <c r="J305" i="4"/>
  <c r="J304" i="4"/>
  <c r="J303" i="4"/>
  <c r="H307" i="4"/>
  <c r="H306" i="4"/>
  <c r="H305" i="4"/>
  <c r="H304" i="4"/>
  <c r="H303" i="4"/>
  <c r="L302" i="4"/>
  <c r="H302" i="4"/>
  <c r="J89" i="2" s="1"/>
  <c r="I89" i="2"/>
  <c r="K89" i="2" s="1"/>
  <c r="J301" i="4"/>
  <c r="J300" i="4"/>
  <c r="J299" i="4"/>
  <c r="J298" i="4"/>
  <c r="J297" i="4"/>
  <c r="J296" i="4"/>
  <c r="J295" i="4"/>
  <c r="I88" i="2"/>
  <c r="K88" i="2" s="1"/>
  <c r="H296" i="4"/>
  <c r="H301" i="4"/>
  <c r="H300" i="4"/>
  <c r="H299" i="4"/>
  <c r="H298" i="4"/>
  <c r="H297" i="4"/>
  <c r="L295" i="4"/>
  <c r="H295" i="4"/>
  <c r="J88" i="2" s="1"/>
  <c r="I87" i="2"/>
  <c r="H294" i="4"/>
  <c r="J87" i="2" s="1"/>
  <c r="L294" i="4"/>
  <c r="J288" i="4"/>
  <c r="J289" i="4"/>
  <c r="J290" i="4"/>
  <c r="J292" i="4"/>
  <c r="H288" i="4"/>
  <c r="H289" i="4"/>
  <c r="H290" i="4"/>
  <c r="L288" i="4"/>
  <c r="H292" i="4"/>
  <c r="J337" i="4"/>
  <c r="H337" i="4"/>
  <c r="I85" i="2"/>
  <c r="H18" i="1" s="1"/>
  <c r="L287" i="4"/>
  <c r="J281" i="4"/>
  <c r="I82" i="2"/>
  <c r="K82" i="2" s="1"/>
  <c r="H280" i="4"/>
  <c r="J82" i="2" s="1"/>
  <c r="L280" i="4"/>
  <c r="J278" i="4"/>
  <c r="J279" i="4"/>
  <c r="L277" i="4"/>
  <c r="I81" i="2"/>
  <c r="K81" i="2" s="1"/>
  <c r="H277" i="4"/>
  <c r="J81" i="2" s="1"/>
  <c r="H278" i="4"/>
  <c r="H279" i="4"/>
  <c r="J271" i="4"/>
  <c r="J257" i="4"/>
  <c r="J274" i="4"/>
  <c r="J264" i="4"/>
  <c r="J265" i="4"/>
  <c r="J266" i="4"/>
  <c r="J270" i="4"/>
  <c r="J275" i="4"/>
  <c r="J276" i="4"/>
  <c r="J273" i="4"/>
  <c r="H265" i="4"/>
  <c r="L256" i="4"/>
  <c r="H266" i="4"/>
  <c r="H257" i="4"/>
  <c r="H270" i="4"/>
  <c r="H264" i="4"/>
  <c r="H271" i="4"/>
  <c r="H273" i="4"/>
  <c r="H274" i="4"/>
  <c r="I80" i="2"/>
  <c r="K80" i="2" s="1"/>
  <c r="H256" i="4"/>
  <c r="J80" i="2" s="1"/>
  <c r="H276" i="4"/>
  <c r="H275" i="4"/>
  <c r="J247" i="4"/>
  <c r="J248" i="4"/>
  <c r="J250" i="4"/>
  <c r="I283" i="4"/>
  <c r="J253" i="4"/>
  <c r="J241" i="4"/>
  <c r="J255" i="4"/>
  <c r="H248" i="4"/>
  <c r="H250" i="4"/>
  <c r="I79" i="2"/>
  <c r="K79" i="2" s="1"/>
  <c r="H241" i="4"/>
  <c r="H240" i="4"/>
  <c r="J79" i="2" s="1"/>
  <c r="H253" i="4"/>
  <c r="H255" i="4"/>
  <c r="H247" i="4"/>
  <c r="L240" i="4"/>
  <c r="I77" i="2"/>
  <c r="H17" i="1" s="1"/>
  <c r="H283" i="4"/>
  <c r="J83" i="2" s="1"/>
  <c r="J234" i="4"/>
  <c r="J232" i="4"/>
  <c r="I235" i="4"/>
  <c r="I220" i="4"/>
  <c r="J231" i="4" s="1"/>
  <c r="G220" i="4"/>
  <c r="L231" i="4"/>
  <c r="H231" i="4"/>
  <c r="J74" i="2" s="1"/>
  <c r="H234" i="4"/>
  <c r="I74" i="2"/>
  <c r="K74" i="2" s="1"/>
  <c r="H232" i="4"/>
  <c r="J229" i="4"/>
  <c r="J228" i="4"/>
  <c r="L228" i="4"/>
  <c r="H228" i="4"/>
  <c r="J73" i="2" s="1"/>
  <c r="J227" i="4"/>
  <c r="J225" i="4"/>
  <c r="J223" i="4"/>
  <c r="J222" i="4"/>
  <c r="J221" i="4"/>
  <c r="H227" i="4"/>
  <c r="H225" i="4"/>
  <c r="H223" i="4"/>
  <c r="H222" i="4"/>
  <c r="L221" i="4"/>
  <c r="H221" i="4"/>
  <c r="J72" i="2" s="1"/>
  <c r="J214" i="4"/>
  <c r="J206" i="4"/>
  <c r="J213" i="4"/>
  <c r="J211" i="4"/>
  <c r="J212" i="4"/>
  <c r="H206" i="4"/>
  <c r="L205" i="4"/>
  <c r="H205" i="4"/>
  <c r="J67" i="2" s="1"/>
  <c r="I67" i="2"/>
  <c r="K67" i="2" s="1"/>
  <c r="H214" i="4"/>
  <c r="H213" i="4"/>
  <c r="H212" i="4"/>
  <c r="H211" i="4"/>
  <c r="J201" i="4"/>
  <c r="J200" i="4"/>
  <c r="J196" i="4"/>
  <c r="J195" i="4"/>
  <c r="I216" i="4"/>
  <c r="J194" i="4"/>
  <c r="J203" i="4"/>
  <c r="J202" i="4"/>
  <c r="H201" i="4"/>
  <c r="H200" i="4"/>
  <c r="H196" i="4"/>
  <c r="H194" i="4"/>
  <c r="L193" i="4"/>
  <c r="H193" i="4"/>
  <c r="J66" i="2" s="1"/>
  <c r="I66" i="2"/>
  <c r="K66" i="2" s="1"/>
  <c r="H203" i="4"/>
  <c r="H202" i="4"/>
  <c r="H195" i="4"/>
  <c r="J190" i="4"/>
  <c r="J189" i="4"/>
  <c r="J188" i="4"/>
  <c r="J185" i="4"/>
  <c r="J184" i="4"/>
  <c r="H183" i="4"/>
  <c r="J65" i="2" s="1"/>
  <c r="L183" i="4"/>
  <c r="H185" i="4"/>
  <c r="H184" i="4"/>
  <c r="H189" i="4"/>
  <c r="H190" i="4"/>
  <c r="H188" i="4"/>
  <c r="J181" i="4"/>
  <c r="H181" i="4"/>
  <c r="L180" i="4"/>
  <c r="H180" i="4"/>
  <c r="J64" i="2" s="1"/>
  <c r="H216" i="4"/>
  <c r="I62" i="2"/>
  <c r="H15" i="1" s="1"/>
  <c r="J174" i="4"/>
  <c r="J171" i="4"/>
  <c r="J170" i="4"/>
  <c r="J173" i="4"/>
  <c r="J169" i="4"/>
  <c r="H174" i="4"/>
  <c r="H173" i="4"/>
  <c r="I59" i="2"/>
  <c r="K59" i="2" s="1"/>
  <c r="H171" i="4"/>
  <c r="H170" i="4"/>
  <c r="H169" i="4"/>
  <c r="J59" i="2" s="1"/>
  <c r="L169" i="4"/>
  <c r="J165" i="4"/>
  <c r="J166" i="4"/>
  <c r="J167" i="4"/>
  <c r="I58" i="2"/>
  <c r="K58" i="2" s="1"/>
  <c r="H166" i="4"/>
  <c r="H165" i="4"/>
  <c r="J58" i="2" s="1"/>
  <c r="L165" i="4"/>
  <c r="H167" i="4"/>
  <c r="J162" i="4"/>
  <c r="J164" i="4"/>
  <c r="J161" i="4"/>
  <c r="J160" i="4"/>
  <c r="H160" i="4"/>
  <c r="J57" i="2" s="1"/>
  <c r="L160" i="4"/>
  <c r="I57" i="2"/>
  <c r="K57" i="2" s="1"/>
  <c r="J155" i="4"/>
  <c r="J154" i="4"/>
  <c r="J156" i="4"/>
  <c r="H154" i="4"/>
  <c r="J56" i="2" s="1"/>
  <c r="H155" i="4"/>
  <c r="H156" i="4"/>
  <c r="L154" i="4"/>
  <c r="I56" i="2"/>
  <c r="K56" i="2" s="1"/>
  <c r="J153" i="4"/>
  <c r="J152" i="4"/>
  <c r="I55" i="2"/>
  <c r="K55" i="2" s="1"/>
  <c r="H152" i="4"/>
  <c r="J55" i="2" s="1"/>
  <c r="L152" i="4"/>
  <c r="H153" i="4"/>
  <c r="K151" i="4"/>
  <c r="I54" i="2"/>
  <c r="L151" i="4"/>
  <c r="J147" i="4"/>
  <c r="J143" i="4"/>
  <c r="J142" i="4"/>
  <c r="J150" i="4"/>
  <c r="J149" i="4"/>
  <c r="J148" i="4"/>
  <c r="J146" i="4"/>
  <c r="H143" i="4"/>
  <c r="H148" i="4"/>
  <c r="H149" i="4"/>
  <c r="H150" i="4"/>
  <c r="I52" i="2"/>
  <c r="K52" i="2" s="1"/>
  <c r="H147" i="4"/>
  <c r="L142" i="4"/>
  <c r="H146" i="4"/>
  <c r="H142" i="4"/>
  <c r="J52" i="2" s="1"/>
  <c r="J141" i="4"/>
  <c r="J140" i="4"/>
  <c r="H141" i="4"/>
  <c r="L140" i="4"/>
  <c r="I51" i="2"/>
  <c r="K51" i="2" s="1"/>
  <c r="H140" i="4"/>
  <c r="J51" i="2" s="1"/>
  <c r="I50" i="2"/>
  <c r="L139" i="4"/>
  <c r="J133" i="4"/>
  <c r="J135" i="4"/>
  <c r="I120" i="4"/>
  <c r="J129" i="4" s="1"/>
  <c r="J137" i="4"/>
  <c r="J138" i="4"/>
  <c r="J130" i="4"/>
  <c r="H135" i="4"/>
  <c r="H138" i="4"/>
  <c r="L129" i="4"/>
  <c r="H129" i="4"/>
  <c r="J48" i="2" s="1"/>
  <c r="H137" i="4"/>
  <c r="H130" i="4"/>
  <c r="H133" i="4"/>
  <c r="J123" i="4"/>
  <c r="J124" i="4"/>
  <c r="H123" i="4"/>
  <c r="J47" i="2" s="1"/>
  <c r="L123" i="4"/>
  <c r="H124" i="4"/>
  <c r="J122" i="4"/>
  <c r="L121" i="4"/>
  <c r="J121" i="4"/>
  <c r="I45" i="2"/>
  <c r="G80" i="4"/>
  <c r="H120" i="4"/>
  <c r="J45" i="2" s="1"/>
  <c r="L120" i="4"/>
  <c r="J112" i="4"/>
  <c r="J113" i="4"/>
  <c r="J115" i="4"/>
  <c r="J117" i="4"/>
  <c r="J118" i="4"/>
  <c r="J119" i="4"/>
  <c r="H112" i="4"/>
  <c r="J43" i="2" s="1"/>
  <c r="L112" i="4"/>
  <c r="H113" i="4"/>
  <c r="H115" i="4"/>
  <c r="H118" i="4"/>
  <c r="H119" i="4"/>
  <c r="H117" i="4"/>
  <c r="J110" i="4"/>
  <c r="J109" i="4"/>
  <c r="J108" i="4"/>
  <c r="H108" i="4"/>
  <c r="J42" i="2" s="1"/>
  <c r="L108" i="4"/>
  <c r="H109" i="4"/>
  <c r="H110" i="4"/>
  <c r="I42" i="2"/>
  <c r="K42" i="2" s="1"/>
  <c r="J100" i="4"/>
  <c r="J97" i="4"/>
  <c r="J104" i="4"/>
  <c r="J98" i="4"/>
  <c r="J105" i="4"/>
  <c r="H97" i="4"/>
  <c r="J41" i="2" s="1"/>
  <c r="H104" i="4"/>
  <c r="H98" i="4"/>
  <c r="H100" i="4"/>
  <c r="I41" i="2"/>
  <c r="K41" i="2" s="1"/>
  <c r="L97" i="4"/>
  <c r="H105" i="4"/>
  <c r="J93" i="4"/>
  <c r="J94" i="4"/>
  <c r="J95" i="4"/>
  <c r="L93" i="4"/>
  <c r="H93" i="4"/>
  <c r="J40" i="2" s="1"/>
  <c r="I40" i="2"/>
  <c r="K40" i="2" s="1"/>
  <c r="H95" i="4"/>
  <c r="H94" i="4"/>
  <c r="J92" i="4"/>
  <c r="J89" i="4"/>
  <c r="J90" i="4"/>
  <c r="J91" i="4"/>
  <c r="H92" i="4"/>
  <c r="H89" i="4"/>
  <c r="J39" i="2" s="1"/>
  <c r="I39" i="2"/>
  <c r="K39" i="2" s="1"/>
  <c r="L89" i="4"/>
  <c r="H90" i="4"/>
  <c r="H91" i="4"/>
  <c r="J86" i="4"/>
  <c r="J87" i="4"/>
  <c r="I38" i="2"/>
  <c r="K38" i="2" s="1"/>
  <c r="L86" i="4"/>
  <c r="H86" i="4"/>
  <c r="J38" i="2" s="1"/>
  <c r="I37" i="2"/>
  <c r="L85" i="4"/>
  <c r="H85" i="4"/>
  <c r="J37" i="2" s="1"/>
  <c r="I175" i="4"/>
  <c r="J83" i="4"/>
  <c r="I35" i="2"/>
  <c r="H82" i="4"/>
  <c r="L82" i="4"/>
  <c r="H83" i="4"/>
  <c r="J73" i="4"/>
  <c r="J74" i="4"/>
  <c r="L72" i="4"/>
  <c r="I30" i="2"/>
  <c r="K30" i="2" s="1"/>
  <c r="H73" i="4"/>
  <c r="H74" i="4"/>
  <c r="H72" i="4"/>
  <c r="J30" i="2" s="1"/>
  <c r="I76" i="4"/>
  <c r="J70" i="4"/>
  <c r="J69" i="4"/>
  <c r="J71" i="4"/>
  <c r="H68" i="4"/>
  <c r="J29" i="2" s="1"/>
  <c r="I29" i="2"/>
  <c r="K29" i="2" s="1"/>
  <c r="L68" i="4"/>
  <c r="H71" i="4"/>
  <c r="H70" i="4"/>
  <c r="H69" i="4"/>
  <c r="I27" i="2"/>
  <c r="H13" i="1" s="1"/>
  <c r="H76" i="4"/>
  <c r="J31" i="2" s="1"/>
  <c r="J54" i="4"/>
  <c r="J59" i="4"/>
  <c r="J60" i="4"/>
  <c r="J61" i="4"/>
  <c r="I62" i="4"/>
  <c r="J57" i="4"/>
  <c r="H53" i="4"/>
  <c r="H57" i="4"/>
  <c r="H54" i="4"/>
  <c r="L53" i="4"/>
  <c r="H60" i="4"/>
  <c r="I24" i="2"/>
  <c r="H59" i="4"/>
  <c r="H61" i="4"/>
  <c r="I22" i="2"/>
  <c r="H62" i="4"/>
  <c r="J43" i="4"/>
  <c r="J47" i="4"/>
  <c r="J35" i="4"/>
  <c r="J39" i="4"/>
  <c r="J40" i="4"/>
  <c r="J41" i="4"/>
  <c r="J44" i="4"/>
  <c r="J45" i="4"/>
  <c r="J46" i="4"/>
  <c r="I48" i="4"/>
  <c r="J42" i="4"/>
  <c r="L34" i="4"/>
  <c r="H44" i="4"/>
  <c r="H47" i="4"/>
  <c r="I19" i="2"/>
  <c r="H45" i="4"/>
  <c r="H34" i="4"/>
  <c r="H40" i="4"/>
  <c r="H35" i="4"/>
  <c r="H41" i="4"/>
  <c r="H42" i="4"/>
  <c r="H39" i="4"/>
  <c r="H43" i="4"/>
  <c r="H46" i="4"/>
  <c r="I17" i="2"/>
  <c r="H48" i="4"/>
  <c r="J27" i="4"/>
  <c r="J25" i="4"/>
  <c r="J26" i="4"/>
  <c r="I14" i="2"/>
  <c r="K14" i="2" s="1"/>
  <c r="L24" i="4"/>
  <c r="J13" i="4"/>
  <c r="J20" i="4"/>
  <c r="I29" i="4"/>
  <c r="J21" i="4"/>
  <c r="J16" i="4"/>
  <c r="J17" i="4"/>
  <c r="J22" i="4"/>
  <c r="J19" i="4"/>
  <c r="H13" i="4"/>
  <c r="H16" i="4"/>
  <c r="I11" i="2"/>
  <c r="I13" i="2"/>
  <c r="L12" i="4"/>
  <c r="H21" i="4"/>
  <c r="H22" i="4"/>
  <c r="H17" i="4"/>
  <c r="H19" i="4"/>
  <c r="H20" i="4"/>
  <c r="H12" i="4"/>
  <c r="H24" i="4"/>
  <c r="H29" i="4"/>
  <c r="G114" i="2"/>
  <c r="F24" i="1" s="1"/>
  <c r="I7" i="3"/>
  <c r="J140" i="3"/>
  <c r="H114" i="2" s="1"/>
  <c r="G24" i="1" s="1"/>
  <c r="H114" i="3"/>
  <c r="H93" i="2" s="1"/>
  <c r="G93" i="2"/>
  <c r="L114" i="3"/>
  <c r="H115" i="3"/>
  <c r="K114" i="3"/>
  <c r="H113" i="3"/>
  <c r="K112" i="3"/>
  <c r="G92" i="2"/>
  <c r="L112" i="3"/>
  <c r="H112" i="3"/>
  <c r="H92" i="2" s="1"/>
  <c r="H111" i="3"/>
  <c r="K110" i="3"/>
  <c r="G91" i="2"/>
  <c r="L110" i="3"/>
  <c r="H110" i="3"/>
  <c r="H91" i="2" s="1"/>
  <c r="L109" i="3"/>
  <c r="G90" i="2"/>
  <c r="K109" i="3"/>
  <c r="K106" i="3"/>
  <c r="H106" i="3"/>
  <c r="H89" i="2" s="1"/>
  <c r="G89" i="2"/>
  <c r="H107" i="3"/>
  <c r="L106" i="3"/>
  <c r="G88" i="2"/>
  <c r="H104" i="3"/>
  <c r="H88" i="2" s="1"/>
  <c r="K104" i="3"/>
  <c r="L104" i="3"/>
  <c r="H105" i="3"/>
  <c r="L103" i="3"/>
  <c r="G87" i="2"/>
  <c r="K103" i="3"/>
  <c r="K99" i="3" s="1"/>
  <c r="K9" i="3" s="1"/>
  <c r="G99" i="3"/>
  <c r="H109" i="3" s="1"/>
  <c r="H103" i="3"/>
  <c r="G80" i="2"/>
  <c r="H92" i="3"/>
  <c r="H80" i="2" s="1"/>
  <c r="L92" i="3"/>
  <c r="K92" i="3"/>
  <c r="G79" i="2"/>
  <c r="L90" i="3"/>
  <c r="H90" i="3"/>
  <c r="H79" i="2" s="1"/>
  <c r="K90" i="3"/>
  <c r="G77" i="2"/>
  <c r="J88" i="3"/>
  <c r="J90" i="3"/>
  <c r="J92" i="3"/>
  <c r="J73" i="3"/>
  <c r="J72" i="3"/>
  <c r="G65" i="2"/>
  <c r="K65" i="2" s="1"/>
  <c r="H72" i="3"/>
  <c r="H65" i="2" s="1"/>
  <c r="L72" i="3"/>
  <c r="G62" i="2"/>
  <c r="J32" i="3"/>
  <c r="J35" i="3"/>
  <c r="H35" i="3"/>
  <c r="G27" i="2"/>
  <c r="J14" i="3"/>
  <c r="J20" i="3"/>
  <c r="J11" i="3"/>
  <c r="J13" i="3"/>
  <c r="G11" i="2"/>
  <c r="L11" i="3"/>
  <c r="J81" i="3"/>
  <c r="J9" i="3"/>
  <c r="J27" i="3"/>
  <c r="J22" i="3"/>
  <c r="J38" i="3"/>
  <c r="F21" i="1"/>
  <c r="F19" i="1"/>
  <c r="K444" i="4" l="1"/>
  <c r="K428" i="4" s="1"/>
  <c r="K427" i="4" s="1"/>
  <c r="I428" i="4"/>
  <c r="J444" i="4" s="1"/>
  <c r="H423" i="4"/>
  <c r="J112" i="2" s="1"/>
  <c r="I105" i="2"/>
  <c r="H22" i="1" s="1"/>
  <c r="L366" i="4"/>
  <c r="G365" i="4"/>
  <c r="H366" i="4" s="1"/>
  <c r="K283" i="4"/>
  <c r="L283" i="4"/>
  <c r="I239" i="4"/>
  <c r="J283" i="4" s="1"/>
  <c r="J235" i="4"/>
  <c r="L235" i="4"/>
  <c r="K235" i="4"/>
  <c r="K220" i="4" s="1"/>
  <c r="L220" i="4"/>
  <c r="I70" i="2"/>
  <c r="H16" i="1" s="1"/>
  <c r="H235" i="4"/>
  <c r="K216" i="4"/>
  <c r="K179" i="4" s="1"/>
  <c r="L216" i="4"/>
  <c r="I179" i="4"/>
  <c r="J216" i="4" s="1"/>
  <c r="I80" i="4"/>
  <c r="J120" i="4" s="1"/>
  <c r="L80" i="4"/>
  <c r="H175" i="4"/>
  <c r="J60" i="2" s="1"/>
  <c r="I33" i="2"/>
  <c r="H14" i="1" s="1"/>
  <c r="G9" i="4"/>
  <c r="J175" i="4"/>
  <c r="K175" i="4"/>
  <c r="L175" i="4"/>
  <c r="J35" i="2"/>
  <c r="K35" i="2"/>
  <c r="K76" i="4"/>
  <c r="K66" i="4" s="1"/>
  <c r="L76" i="4"/>
  <c r="I66" i="4"/>
  <c r="J76" i="4" s="1"/>
  <c r="K62" i="4"/>
  <c r="K52" i="4" s="1"/>
  <c r="L62" i="4"/>
  <c r="I52" i="4"/>
  <c r="J62" i="4" s="1"/>
  <c r="J24" i="2"/>
  <c r="K24" i="2"/>
  <c r="J25" i="2"/>
  <c r="H12" i="1"/>
  <c r="K48" i="4"/>
  <c r="K33" i="4" s="1"/>
  <c r="L48" i="4"/>
  <c r="I33" i="4"/>
  <c r="J48" i="4" s="1"/>
  <c r="J19" i="2"/>
  <c r="K19" i="2"/>
  <c r="J20" i="2"/>
  <c r="H11" i="1"/>
  <c r="K29" i="4"/>
  <c r="K11" i="4" s="1"/>
  <c r="L29" i="4"/>
  <c r="I11" i="4"/>
  <c r="J29" i="4" s="1"/>
  <c r="J15" i="2"/>
  <c r="H10" i="1"/>
  <c r="J13" i="2"/>
  <c r="K13" i="2"/>
  <c r="J128" i="3"/>
  <c r="G85" i="2"/>
  <c r="G9" i="3"/>
  <c r="F17" i="1"/>
  <c r="F13" i="1"/>
  <c r="H13" i="2"/>
  <c r="F10" i="1"/>
  <c r="H151" i="4"/>
  <c r="J54" i="2" s="1"/>
  <c r="H139" i="4"/>
  <c r="J50" i="2" s="1"/>
  <c r="L428" i="4" l="1"/>
  <c r="J429" i="4"/>
  <c r="I427" i="4"/>
  <c r="J428" i="4" s="1"/>
  <c r="J115" i="2" s="1"/>
  <c r="I25" i="1" s="1"/>
  <c r="H365" i="4"/>
  <c r="J104" i="2" s="1"/>
  <c r="I21" i="1" s="1"/>
  <c r="L365" i="4"/>
  <c r="I104" i="2"/>
  <c r="H21" i="1" s="1"/>
  <c r="J240" i="4"/>
  <c r="J256" i="4"/>
  <c r="J277" i="4"/>
  <c r="J280" i="4"/>
  <c r="J180" i="4"/>
  <c r="J183" i="4"/>
  <c r="J193" i="4"/>
  <c r="J205" i="4"/>
  <c r="J151" i="4"/>
  <c r="J82" i="4"/>
  <c r="J85" i="4"/>
  <c r="J139" i="4"/>
  <c r="K80" i="4"/>
  <c r="K9" i="4" s="1"/>
  <c r="H52" i="4"/>
  <c r="J22" i="2" s="1"/>
  <c r="I12" i="1" s="1"/>
  <c r="H179" i="4"/>
  <c r="J62" i="2" s="1"/>
  <c r="I15" i="1" s="1"/>
  <c r="H239" i="4"/>
  <c r="J77" i="2" s="1"/>
  <c r="I17" i="1" s="1"/>
  <c r="H341" i="4"/>
  <c r="J95" i="2" s="1"/>
  <c r="I19" i="1" s="1"/>
  <c r="H66" i="4"/>
  <c r="J27" i="2" s="1"/>
  <c r="I13" i="1" s="1"/>
  <c r="H287" i="4"/>
  <c r="J85" i="2" s="1"/>
  <c r="I18" i="1" s="1"/>
  <c r="H11" i="4"/>
  <c r="J11" i="2" s="1"/>
  <c r="I10" i="1" s="1"/>
  <c r="H33" i="4"/>
  <c r="J17" i="2" s="1"/>
  <c r="I11" i="1" s="1"/>
  <c r="I9" i="2"/>
  <c r="H9" i="1" s="1"/>
  <c r="G7" i="4"/>
  <c r="H9" i="4"/>
  <c r="J9" i="2" s="1"/>
  <c r="I9" i="1" s="1"/>
  <c r="L66" i="4"/>
  <c r="J68" i="4"/>
  <c r="J72" i="4"/>
  <c r="L52" i="4"/>
  <c r="J53" i="4"/>
  <c r="J34" i="4"/>
  <c r="L33" i="4"/>
  <c r="L11" i="4"/>
  <c r="J12" i="4"/>
  <c r="J24" i="4"/>
  <c r="I9" i="4"/>
  <c r="H87" i="2"/>
  <c r="H90" i="2"/>
  <c r="F18" i="1"/>
  <c r="H11" i="3"/>
  <c r="H88" i="3"/>
  <c r="L9" i="3"/>
  <c r="G9" i="2"/>
  <c r="H85" i="2" s="1"/>
  <c r="G18" i="1" s="1"/>
  <c r="G7" i="3"/>
  <c r="H220" i="4"/>
  <c r="J70" i="2" s="1"/>
  <c r="I16" i="1" s="1"/>
  <c r="H80" i="4"/>
  <c r="J33" i="2" s="1"/>
  <c r="I14" i="1" s="1"/>
  <c r="L427" i="4" l="1"/>
  <c r="J427" i="4"/>
  <c r="H427" i="4"/>
  <c r="J114" i="2" s="1"/>
  <c r="I24" i="1" s="1"/>
  <c r="L7" i="4"/>
  <c r="I7" i="2"/>
  <c r="J7" i="2" s="1"/>
  <c r="J220" i="4"/>
  <c r="J341" i="4"/>
  <c r="J287" i="4"/>
  <c r="I7" i="4"/>
  <c r="J9" i="4" s="1"/>
  <c r="H77" i="2"/>
  <c r="G17" i="1" s="1"/>
  <c r="H11" i="2"/>
  <c r="G10" i="1" s="1"/>
  <c r="H27" i="2"/>
  <c r="G13" i="1" s="1"/>
  <c r="H104" i="2"/>
  <c r="G21" i="1" s="1"/>
  <c r="H62" i="2"/>
  <c r="G15" i="1" s="1"/>
  <c r="H95" i="2"/>
  <c r="G19" i="1" s="1"/>
  <c r="H22" i="2"/>
  <c r="G12" i="1" s="1"/>
  <c r="H17" i="2"/>
  <c r="G11" i="1" s="1"/>
  <c r="H70" i="2"/>
  <c r="G16" i="1" s="1"/>
  <c r="H33" i="2"/>
  <c r="G14" i="1" s="1"/>
  <c r="F9" i="1"/>
  <c r="G7" i="2"/>
  <c r="H9" i="2" s="1"/>
  <c r="G9" i="1" s="1"/>
  <c r="H99" i="3"/>
  <c r="K7" i="3"/>
  <c r="H69" i="3"/>
  <c r="L7" i="3"/>
  <c r="H7" i="1"/>
  <c r="I7" i="1" s="1"/>
  <c r="J179" i="4"/>
  <c r="J80" i="4"/>
  <c r="L9" i="4"/>
  <c r="J66" i="4"/>
  <c r="J52" i="4"/>
  <c r="J33" i="4"/>
  <c r="J11" i="4"/>
  <c r="J365" i="4" l="1"/>
  <c r="K7" i="4"/>
  <c r="H7" i="2"/>
  <c r="F7" i="1"/>
  <c r="G7" i="1" s="1"/>
</calcChain>
</file>

<file path=xl/sharedStrings.xml><?xml version="1.0" encoding="utf-8"?>
<sst xmlns="http://schemas.openxmlformats.org/spreadsheetml/2006/main" count="1674" uniqueCount="523">
  <si>
    <t>國立臺灣大學學生會決算案</t>
  </si>
  <si>
    <t>綜計表</t>
  </si>
  <si>
    <t>第38屆第一期間（114-1）</t>
  </si>
  <si>
    <t xml:space="preserve">2025年9月22日至2026年3月15日                                                        </t>
  </si>
  <si>
    <t>單位別</t>
  </si>
  <si>
    <t>本期間期入</t>
  </si>
  <si>
    <t>佔本期間期入</t>
  </si>
  <si>
    <t>本期間期出</t>
  </si>
  <si>
    <t>佔本期間期出</t>
  </si>
  <si>
    <t>款</t>
  </si>
  <si>
    <t>項</t>
  </si>
  <si>
    <t>說明</t>
  </si>
  <si>
    <t>決算數</t>
  </si>
  <si>
    <t>百分比</t>
  </si>
  <si>
    <t>合計</t>
  </si>
  <si>
    <t>行政部門</t>
  </si>
  <si>
    <t>會長</t>
  </si>
  <si>
    <t>秘書處</t>
  </si>
  <si>
    <t>財務部</t>
  </si>
  <si>
    <t>學權部</t>
  </si>
  <si>
    <t>學術部</t>
  </si>
  <si>
    <t>文化部</t>
  </si>
  <si>
    <t>公關部</t>
  </si>
  <si>
    <t>選舉罷免執行委員會</t>
  </si>
  <si>
    <t>國際事務部</t>
  </si>
  <si>
    <t>A</t>
  </si>
  <si>
    <t>資訊部</t>
  </si>
  <si>
    <t>立法部門</t>
  </si>
  <si>
    <t>學生代表大會</t>
  </si>
  <si>
    <t>司法部門</t>
  </si>
  <si>
    <t>學生法院</t>
  </si>
  <si>
    <t>部門預算</t>
  </si>
  <si>
    <t>單位預算</t>
  </si>
  <si>
    <t>目</t>
  </si>
  <si>
    <t>附屬單位預算</t>
  </si>
  <si>
    <t>節</t>
  </si>
  <si>
    <t>計畫名稱</t>
  </si>
  <si>
    <t>主要表</t>
  </si>
  <si>
    <t>單位計畫別</t>
  </si>
  <si>
    <t>預算科目</t>
  </si>
  <si>
    <t>本期期入</t>
  </si>
  <si>
    <t>本期期出</t>
  </si>
  <si>
    <t>各計畫會費支出情形</t>
  </si>
  <si>
    <t>代碼</t>
  </si>
  <si>
    <t>名稱</t>
  </si>
  <si>
    <t>1</t>
  </si>
  <si>
    <t>0</t>
  </si>
  <si>
    <t>一般行政計畫</t>
  </si>
  <si>
    <t>2</t>
  </si>
  <si>
    <t>Line官方帳號計畫</t>
  </si>
  <si>
    <t>9</t>
  </si>
  <si>
    <t>預備金</t>
  </si>
  <si>
    <t>3</t>
  </si>
  <si>
    <t>4</t>
  </si>
  <si>
    <t>臺灣大學花蓮光復賑災補助計劃</t>
  </si>
  <si>
    <t>5</t>
  </si>
  <si>
    <t>性別平等工作坊</t>
  </si>
  <si>
    <t>生理用品交換站暨月經議題倡議計畫</t>
  </si>
  <si>
    <t>性別樹洞</t>
  </si>
  <si>
    <t>台大校內同志大遊行</t>
  </si>
  <si>
    <t>專欄文章藉親密關係面向及女性主義視角</t>
  </si>
  <si>
    <t>6</t>
  </si>
  <si>
    <t>愛在校園蔓延時_性工坊午餐live podcast活動</t>
  </si>
  <si>
    <t>轉型正義組</t>
  </si>
  <si>
    <t>社群經營【轉型正義小組社群經營】</t>
  </si>
  <si>
    <t>走讀活動【白恐電影賞析：人權奮鬥的記憶傳承】</t>
  </si>
  <si>
    <t>永續執行組</t>
  </si>
  <si>
    <t>從剩食減量到永續發展：校園綠色行動計畫</t>
  </si>
  <si>
    <t>本土語言小組</t>
  </si>
  <si>
    <t>講座 〈 台語新生代 台語新聞自媒體與吟詩冠軍經驗分享〉</t>
  </si>
  <si>
    <t>台語文課程講座</t>
  </si>
  <si>
    <t>社群經營【本土語言小組社群經營】</t>
  </si>
  <si>
    <t>工作坊【GIS重製部落地名】</t>
  </si>
  <si>
    <t>114學年度臺大電影節工作團隊內部培力</t>
  </si>
  <si>
    <t>114學年度臺大電影節系列活動—短片影展</t>
  </si>
  <si>
    <t>114學年度臺大電影節系列活動—長片影展</t>
  </si>
  <si>
    <t>2025 Fall Open House NTUs 計畫</t>
  </si>
  <si>
    <t>7</t>
  </si>
  <si>
    <t>社群觸及關注提升作業</t>
  </si>
  <si>
    <t>期末歐趴補給站</t>
  </si>
  <si>
    <t>8</t>
  </si>
  <si>
    <t>選務行政計畫</t>
  </si>
  <si>
    <t>選舉身份查驗電子化計畫</t>
  </si>
  <si>
    <t>選舉法規修正計劃</t>
  </si>
  <si>
    <t>權益組</t>
  </si>
  <si>
    <t>Foreign Student Conference</t>
  </si>
  <si>
    <t>NTUSADIA X Foreign Student Association Gathering</t>
  </si>
  <si>
    <t>活動組</t>
  </si>
  <si>
    <t>Make &amp; Taste</t>
  </si>
  <si>
    <t>NTUSADIA X FFH Game Night</t>
  </si>
  <si>
    <t>Make &amp; Gather</t>
  </si>
  <si>
    <t>全校網際網路服務體驗改善專案計畫</t>
  </si>
  <si>
    <t>校內新資訊系統開發流程規範追蹤計畫</t>
  </si>
  <si>
    <t>校內資訊安全與隱私權議題探討及改善倡議計畫</t>
  </si>
  <si>
    <t>陳情案件處理及資訊相關突發事件追蹤</t>
  </si>
  <si>
    <t>一般立法計畫</t>
  </si>
  <si>
    <t xml:space="preserve">友校學生自治機關交流計劃         </t>
  </si>
  <si>
    <t>議事資料整理暨系統維護計畫</t>
  </si>
  <si>
    <t>校園民主論壇</t>
  </si>
  <si>
    <t>電影獨立放映會</t>
  </si>
  <si>
    <t>臺大三會赴泰國交流計劃</t>
  </si>
  <si>
    <t>一般司法計畫</t>
  </si>
  <si>
    <t>期入決算副屬表</t>
  </si>
  <si>
    <t>本期間</t>
  </si>
  <si>
    <t>委員會意見｜大會審議結果</t>
  </si>
  <si>
    <t>決算百分比</t>
  </si>
  <si>
    <t>預算數</t>
  </si>
  <si>
    <t>餘絀數</t>
  </si>
  <si>
    <t>預算執行率</t>
  </si>
  <si>
    <t>Z01</t>
  </si>
  <si>
    <t>會費收入</t>
  </si>
  <si>
    <t>Z04</t>
  </si>
  <si>
    <t>公關贊助收入</t>
  </si>
  <si>
    <t>各類廠商贊助。</t>
  </si>
  <si>
    <t>Z52</t>
  </si>
  <si>
    <t>學校專案補助</t>
  </si>
  <si>
    <t>Z99</t>
  </si>
  <si>
    <t>前期轉入</t>
  </si>
  <si>
    <t>中信餘額：1,602,217</t>
  </si>
  <si>
    <t>郵局餘額：493,280</t>
  </si>
  <si>
    <t>永續組</t>
  </si>
  <si>
    <t>(1)國立臺灣大學第一學生活動中心餐廳藝文回饋金（114年度下半年與115年度上半年各四萬，總計八萬）</t>
  </si>
  <si>
    <t>(2)國立臺灣大學學務處課外活動指年度下半年與115年度上半年各四萬，總計八萬）</t>
  </si>
  <si>
    <t>(1) 學務處課外組選務常態補助。</t>
  </si>
  <si>
    <t>全校網際網路服務體驗改善專案</t>
  </si>
  <si>
    <t xml:space="preserve"> </t>
  </si>
  <si>
    <t>期出決算副屬表</t>
  </si>
  <si>
    <t>各部門備註</t>
  </si>
  <si>
    <t>A02</t>
  </si>
  <si>
    <t>工作費</t>
  </si>
  <si>
    <t>會長工作費：每小時 200 元，以每週 3小時計，共 23 週。共計200*3*23=13,800元。本工作費會長個人領取後，計劃支用於學生會事務上，若全學年結束後仍有剩餘，將回捐回學生會或校務基金運營使用。</t>
  </si>
  <si>
    <t>依實際執行狀況核銷。</t>
  </si>
  <si>
    <t>副會長工作費：每小時 200 元，以每週 3小時計，共 23 週，共 2 名。共計200*3*23*2=27,600元。</t>
  </si>
  <si>
    <t>會長秘書工作費：每小時 200 元，以每週 3 小時計，共 23 週，共 2 名。共計200*3*23*2=27,600元。</t>
  </si>
  <si>
    <t>B01</t>
  </si>
  <si>
    <t>行政費</t>
  </si>
  <si>
    <t>依作業要點編列，會長、兩位副會長行政費，本期間以6個月計算，1,000元 / 月。共計1,000*6*3=18,000元</t>
  </si>
  <si>
    <r>
      <rPr>
        <sz val="12"/>
        <color theme="1"/>
        <rFont val="Arial"/>
        <family val="2"/>
      </rPr>
      <t>凍結</t>
    </r>
    <r>
      <rPr>
        <sz val="12"/>
        <color theme="1"/>
        <rFont val="Arial"/>
        <family val="2"/>
      </rPr>
      <t>9,000</t>
    </r>
    <r>
      <rPr>
        <sz val="12"/>
        <color theme="1"/>
        <rFont val="Arial"/>
        <family val="2"/>
      </rPr>
      <t>元，解凍條件：將凍結部分之動支計畫送大會審議並同意後始得動支。</t>
    </r>
  </si>
  <si>
    <t>B02</t>
  </si>
  <si>
    <t>餐費</t>
  </si>
  <si>
    <t>為促進會內連結，加深日後之協作與交流，特舉辦全會交流工作坊，</t>
  </si>
  <si>
    <t>實際未辦理。</t>
  </si>
  <si>
    <t>全會交流工作坊參與人員之正餐餐點費用，每次預計30人，共兩次。共計30*120*2=7,200元</t>
  </si>
  <si>
    <t>B05</t>
  </si>
  <si>
    <t>印刷費</t>
  </si>
  <si>
    <t>臨時需印製各類文件、海報之費用。</t>
  </si>
  <si>
    <t>B20</t>
  </si>
  <si>
    <r>
      <rPr>
        <sz val="12"/>
        <color theme="1"/>
        <rFont val="Arial"/>
        <family val="2"/>
      </rPr>
      <t>委辦費</t>
    </r>
  </si>
  <si>
    <t>承接 37-3 活大 237 會辦垃圾清運效益有所成果，本會期預計進一步請打掃公司清掃活大 237 空間將此空間之討論功能效益進一步擴展，同時為對應解決牆壁粉刷剝落之情形進行相關牆壁粉刷之維護任務。此外，也針對大一女地下室之學生會空間，一併進行垃圾清運與空間清掃之任務。</t>
  </si>
  <si>
    <t>B99</t>
  </si>
  <si>
    <t>雜支</t>
  </si>
  <si>
    <t>依作業要點編列，每一計畫不超過500元。</t>
  </si>
  <si>
    <t>C01</t>
  </si>
  <si>
    <t>設備費</t>
  </si>
  <si>
    <t>(1) 擬添購會辦投影機，共10,000元。</t>
  </si>
  <si>
    <t>(2) 擬添購會辦水冷氣，共5,000元。</t>
  </si>
  <si>
    <t>帳號經營費用：每小時工資200元，每月工時8小時，共6個月。共計200*8*6=9,600元。</t>
  </si>
  <si>
    <t>B08</t>
  </si>
  <si>
    <t>廣告費</t>
  </si>
  <si>
    <t>線下宣傳：海報與立板印製，共4張，估計1,000元。</t>
  </si>
  <si>
    <t>B12</t>
  </si>
  <si>
    <t>資通服務使用費</t>
  </si>
  <si>
    <r>
      <rPr>
        <sz val="12"/>
        <color theme="1"/>
        <rFont val="Arial"/>
        <family val="2"/>
      </rPr>
      <t>Line</t>
    </r>
    <r>
      <rPr>
        <sz val="12"/>
        <color theme="1"/>
        <rFont val="Arial"/>
        <family val="2"/>
      </rPr>
      <t>官方帳號月費：使用中用量服務，估計</t>
    </r>
    <r>
      <rPr>
        <sz val="12"/>
        <color theme="1"/>
        <rFont val="Arial"/>
        <family val="2"/>
      </rPr>
      <t>4,800</t>
    </r>
    <r>
      <rPr>
        <sz val="12"/>
        <color theme="1"/>
        <rFont val="Arial"/>
        <family val="2"/>
      </rPr>
      <t>元</t>
    </r>
  </si>
  <si>
    <r>
      <rPr>
        <sz val="12"/>
        <color theme="1"/>
        <rFont val="Arial"/>
        <family val="2"/>
      </rPr>
      <t>一、減列</t>
    </r>
    <r>
      <rPr>
        <sz val="12"/>
        <color theme="1"/>
        <rFont val="Arial"/>
        <family val="2"/>
      </rPr>
      <t>800</t>
    </r>
    <r>
      <rPr>
        <sz val="12"/>
        <color theme="1"/>
        <rFont val="Arial"/>
        <family val="2"/>
      </rPr>
      <t>元。
二、修正科目名稱為「資通服務使用費」
（已修改數額及文字如左）</t>
    </r>
  </si>
  <si>
    <t>依預算法編列單位預算 5%。</t>
  </si>
  <si>
    <t>(1) 活動場地組：預計60小時</t>
  </si>
  <si>
    <t>(2) 空間財產組：預計30小時</t>
  </si>
  <si>
    <t>(3) 文書檔案組：預計10小時</t>
  </si>
  <si>
    <t>每小時200元，共100小時，共計200*100=20,000元。</t>
  </si>
  <si>
    <t>依作業要點編列，本期間以6個月計算，500元 / 月。共計500*6=3,000元</t>
  </si>
  <si>
    <t>B04</t>
  </si>
  <si>
    <t>耗材費</t>
  </si>
  <si>
    <t>預計作為全會耗材購置使用</t>
  </si>
  <si>
    <t>作為場地活動申請文件之印刷費</t>
  </si>
  <si>
    <t>B06</t>
  </si>
  <si>
    <t>場地費</t>
  </si>
  <si>
    <t>各部門例會之場地費，本會期擬開例會之部門為資訊部、國際部、學術部轉型正義小組、學術部性別平等工作坊、學術部本土語言小組、文化部台大電影節</t>
  </si>
  <si>
    <t>B14</t>
  </si>
  <si>
    <t>手續費</t>
  </si>
  <si>
    <t>匯款給承包廠商之手續費用</t>
  </si>
  <si>
    <t>B15</t>
  </si>
  <si>
    <t>設備租借費</t>
  </si>
  <si>
    <t>租用設備臨時使用之費用</t>
  </si>
  <si>
    <t>實際未有需求故無辦理</t>
  </si>
  <si>
    <t>依作業要點編列，每一計畫不超過 500 元。</t>
  </si>
  <si>
    <t>設備維修添購，老舊物品汰換</t>
  </si>
  <si>
    <t>C02</t>
  </si>
  <si>
    <t>修繕費</t>
  </si>
  <si>
    <t>擬維修會辦內MA-708擴音器</t>
  </si>
  <si>
    <t xml:space="preserve">(1)：副部長1人處理核銷費用，每週約1小時，共23週，共計200*23=4,600。 </t>
  </si>
  <si>
    <t xml:space="preserve">(2)：副部長1人處理出納費用，每週約1小時，共23週，共計200*23=4,600。 </t>
  </si>
  <si>
    <t xml:space="preserve">(3)：部長處理預決算編造之費用，約46小時，共計200*46=9,200。 </t>
  </si>
  <si>
    <t>依作業要點編列，本期間以6個月計算，500元 / 月，共兩位副部長。共計500*6*2=6,000元</t>
  </si>
  <si>
    <t>Google雲端硬碟儲存空間續約費，採100GB方案，續約一年。共計650元。</t>
  </si>
  <si>
    <r>
      <rPr>
        <sz val="12"/>
        <color theme="1"/>
        <rFont val="Arial"/>
        <family val="2"/>
      </rPr>
      <t>凍結</t>
    </r>
    <r>
      <rPr>
        <sz val="12"/>
        <color theme="1"/>
        <rFont val="Arial"/>
        <family val="2"/>
      </rPr>
      <t>650</t>
    </r>
    <r>
      <rPr>
        <sz val="12"/>
        <color theme="1"/>
        <rFont val="Arial"/>
        <family val="2"/>
      </rPr>
      <t>元，解凍條件：將資料轉移報告送至大會備查後始得動之。</t>
    </r>
  </si>
  <si>
    <t>金融往來之手續費，轉帳每次15元或30元，共300元。</t>
  </si>
  <si>
    <t>陳情工作人員，每小時 200 元，每案陳情約需耗時 6 小時，本會期預計共收 16 案，共 96 小時。共計200*96=19,200 元。</t>
  </si>
  <si>
    <t>因補助未完全被領取，後轉由城鄉所馬太鞍相關計劃運用</t>
  </si>
  <si>
    <t>B10</t>
  </si>
  <si>
    <t>差旅費</t>
  </si>
  <si>
    <r>
      <rPr>
        <sz val="12"/>
        <color theme="1"/>
        <rFont val="Arial"/>
        <family val="2"/>
      </rPr>
      <t>每人補助台北</t>
    </r>
    <r>
      <rPr>
        <sz val="12"/>
        <color theme="1"/>
        <rFont val="Arial"/>
        <family val="2"/>
      </rPr>
      <t>-</t>
    </r>
    <r>
      <rPr>
        <sz val="12"/>
        <color theme="1"/>
        <rFont val="Arial"/>
        <family val="2"/>
      </rPr>
      <t>光復來回車票</t>
    </r>
    <r>
      <rPr>
        <sz val="12"/>
        <color theme="1"/>
        <rFont val="Arial"/>
        <family val="2"/>
      </rPr>
      <t>1,400</t>
    </r>
    <r>
      <rPr>
        <sz val="12"/>
        <color theme="1"/>
        <rFont val="Arial"/>
        <family val="2"/>
      </rPr>
      <t>，若停留超過一天，每天會多補助光復</t>
    </r>
    <r>
      <rPr>
        <sz val="12"/>
        <color theme="1"/>
        <rFont val="Arial"/>
        <family val="2"/>
      </rPr>
      <t>-</t>
    </r>
    <r>
      <rPr>
        <sz val="12"/>
        <color theme="1"/>
        <rFont val="Arial"/>
        <family val="2"/>
      </rPr>
      <t>花蓮的來回車票錢</t>
    </r>
    <r>
      <rPr>
        <sz val="12"/>
        <color theme="1"/>
        <rFont val="Arial"/>
        <family val="2"/>
      </rPr>
      <t>198</t>
    </r>
    <r>
      <rPr>
        <sz val="12"/>
        <color theme="1"/>
        <rFont val="Arial"/>
        <family val="2"/>
      </rPr>
      <t>。因採實報實銷與為保留業務彈性，共計</t>
    </r>
    <r>
      <rPr>
        <sz val="12"/>
        <color theme="1"/>
        <rFont val="Arial"/>
        <family val="2"/>
      </rPr>
      <t>213,000</t>
    </r>
    <r>
      <rPr>
        <sz val="12"/>
        <color theme="1"/>
        <rFont val="Arial"/>
        <family val="2"/>
      </rPr>
      <t>元。</t>
    </r>
  </si>
  <si>
    <t>B16</t>
  </si>
  <si>
    <t>保險費</t>
  </si>
  <si>
    <t>保險費一天137元，因每人停留時間不一，故以天數計算，共173天。共計137*173=23,701元。</t>
  </si>
  <si>
    <t>依作業要點編列，本期間以6個月計算，本單位有1位部長。共計500*6=3,000元</t>
  </si>
  <si>
    <t>依作業要點編列，本期間以6個月計算，500元 / 月，共一位副部長。共計500*6=3,000元</t>
  </si>
  <si>
    <t>依作業要點編列，本期間以6個月計算，500元 / 月，本小組有第二位負責人。共計500*6=3,000元</t>
  </si>
  <si>
    <t>生理用品交換站維護費：每小時200元，預計投入8小時。共計200*8=1,600 元。</t>
  </si>
  <si>
    <t>A03</t>
  </si>
  <si>
    <t>稿費</t>
  </si>
  <si>
    <t>圖卡製作：預計將製作兩張圖卡用於更新校園生理用品交換站站點資訊維護，一張圖 100 元，共計 200元。</t>
  </si>
  <si>
    <t>生理用品購買：預計購買衛生棉100包，一包二十片，共2,000片，分兩箱寄送。一箱運費60元，一包39 元，共計 39*100 + 60*2 =4,020 元。</t>
  </si>
  <si>
    <t>前期庫存尚足夠支應上學期的用量，因此沒有多採買</t>
  </si>
  <si>
    <t>研擬學生會推選性平委遴選規則</t>
  </si>
  <si>
    <t>表單設計及活動執行：每小時200元，預計投入6小時。共計200*6=1,200元。</t>
  </si>
  <si>
    <t>(1)製圖費：預計第一期間將進行 5 次的社群平台圖文宣傳，一張圖 300 元，共計300*5=1500元。</t>
  </si>
  <si>
    <t>後來評估使用情況和組織發文排程，認為不需要多發文宣傳</t>
  </si>
  <si>
    <t>(2)投稿內容回覆及貼文文案撰寫：預計第一期間將發布 5 次的回覆貼文，每篇貼文預計1000字，每字0.8元。共計800*5=4,000元。</t>
  </si>
  <si>
    <t>(1)聯絡及執行費用：每小時200元，預計投入2小時。共計200*2=400 元。</t>
  </si>
  <si>
    <t>(2)活動籌辦費用：每小時200元，預計投入5小時。共計200*5=1,000元</t>
  </si>
  <si>
    <t>(1)製圖費：遊行議題倡議，1 張圖 300 元，共6張，共計300*6=1,800元。</t>
  </si>
  <si>
    <t>(2)撰稿費用：撰稿費用：參與遊行的協辦單位共六個，每個協辦單位發 1 篇貼文，每篇貼文 800 元，共計800*6=4,800元。</t>
  </si>
  <si>
    <t>(3)宣傳與邀請文：活動公告、宣傳文案、全校信、邀請友社組織信與講師邀請信，每篇文 500 字，預計五篇，每字 0.8 元，共計2,000元。</t>
  </si>
  <si>
    <t>(4)主視覺設計：活動宣傳設計製圖，一張圖 300 元，共 300 元。</t>
  </si>
  <si>
    <t>A04</t>
  </si>
  <si>
    <t>鐘點費</t>
  </si>
  <si>
    <t>鐘點費—講師費（校內）：預計共邀 2 人，每場 2 小時，每小時 1,000 元，共計1,000*2*2=4,000元</t>
  </si>
  <si>
    <t>講師很友善說不收錢</t>
  </si>
  <si>
    <t>(1)海報：宣傳海報印刷一式，共500元。</t>
  </si>
  <si>
    <t>(2)張貼用活動傳單：一份彩色印刷活動傳單初估費用需 50 元，預計將張貼 10 份，共計50*10=500 元。</t>
  </si>
  <si>
    <t>(3)標語手板：標語手板製作，五張，一張300元。共計300*5=1,500元。</t>
  </si>
  <si>
    <t>親密關係專欄文章</t>
  </si>
  <si>
    <r>
      <rPr>
        <sz val="12"/>
        <color theme="1"/>
        <rFont val="Arial"/>
        <family val="2"/>
      </rPr>
      <t>修正計畫名稱為「親密關係專欄文章」。
（已修改數額及文字如左）</t>
    </r>
  </si>
  <si>
    <t>專欄主題設計及活動執行：每小時200元，預計投入5小時。共計200*5=1,000元。</t>
  </si>
  <si>
    <t>(1)製圖費：預計將進行 6 次的社群平台配合圖文宣傳，一張圖 300 元，共計300*6=1,800元。</t>
  </si>
  <si>
    <t>(2)專欄文案撰寫：預計發布 6 次的貼文，每篇貼文 1500 字，每字 0.8 元，共計1500*0.8*6=7,200元</t>
  </si>
  <si>
    <t>(1)事前籌辦：每小時200元，預計投入5小時。共計200*5=1,000元。</t>
  </si>
  <si>
    <t>(2)當天主持、紀錄：每小時200元，預計投入2小時。共計200*2=400元。</t>
  </si>
  <si>
    <t>(1)稿費：活動前宣傳、活動後回顧貼文需要兩篇文案，預計共1000字，每字0.8元。共計1000*0.8*2=1,600元</t>
  </si>
  <si>
    <t>(2)製圖費：活動前宣傳、活動後回顧貼文共需要兩篇貼文的封面圖，每張製圖費300元。共計300*2=600元</t>
  </si>
  <si>
    <t>校內外專家學者對談鐘點費：本活動將邀請校外專家參與論壇討論，每位專家 1,000 元，共2位。共計2,000元。</t>
  </si>
  <si>
    <t>餐食：本次活動透過提供餐盒吸引學生參加，預估有30位同學參加。共計120*30=3,600元。</t>
  </si>
  <si>
    <t>論壇場地費：本次活動需借用教室，教室借用費 700 元 1 次，共計700 元。</t>
  </si>
  <si>
    <t>轉型正義小組</t>
  </si>
  <si>
    <t xml:space="preserve"> 一般行政計畫</t>
  </si>
  <si>
    <t>負責人忘了請款</t>
  </si>
  <si>
    <t>(1)粉專管理費：每小時200元，預計投入6小時。共計200*6=1,200元。</t>
  </si>
  <si>
    <t>(2)社團管理費：每小時200元，預計投入2小時。共計200*2=400元。</t>
  </si>
  <si>
    <t>(1)貼文文案撰寫：預計將發布轉型正義科普主題文章、人權紀念日撰文以及活動宣傳 7 次的宣傳／ 回饋貼文，</t>
  </si>
  <si>
    <t>當初編列預算時將電影包場宣傳也編列於此，但後來包場有自己的宣傳費，這邊的就沒有執行</t>
  </si>
  <si>
    <t xml:space="preserve">每篇貼文 800 字，每字 0.8 元，共計 4480 元。  </t>
  </si>
  <si>
    <t xml:space="preserve">(2)製圖費：預計將製作 21 張的社群平台圖卡，一張圖 300 元，共計 6,300 元。 </t>
  </si>
  <si>
    <t>(1)主視覺設計：執行此計劃所需投入時間為3小時，時薪200，共600元。</t>
  </si>
  <si>
    <t>該專案之工作人員不如預算編列時預想的多，因此報比較少</t>
  </si>
  <si>
    <t>(2)報名表單與票卷設計：執行此計劃所需投入時間為1小時，時薪200，共200元。</t>
  </si>
  <si>
    <t>(3)活動執行：初估執行此計劃所需投入時間為12小時，時薪200，共2,400元。</t>
  </si>
  <si>
    <t>(1)貼文文案撰寫：預計將發布2次的宣傳貼文，每篇貼文約500字，每字0.8元，共計800元。</t>
  </si>
  <si>
    <t>(2)製圖費：預計將進行10張的社群圖卡宣傳，每張圖50元，共計500元。</t>
  </si>
  <si>
    <t>該會期只有發佈一篇文章（$400），配四張圖卡（$200）</t>
  </si>
  <si>
    <t>百老匯影城30-40人影廳，預估6,000元。</t>
  </si>
  <si>
    <t xml:space="preserve">轉型正義小組計畫電影包場活動，在幹部會議中獲得許多正面回饋，決定擴大舉辦規模，從原先規劃的30人廳增加到44人廳，包場經費增加2,800元，共計8,800元。
</t>
  </si>
  <si>
    <t>預計活動期間需印製40張票卷，每份10元，共400元。</t>
  </si>
  <si>
    <t>廠商有準備，小組就沒有再另行印製</t>
  </si>
  <si>
    <t>專案執行期間其他支出，預計花費500元。</t>
  </si>
  <si>
    <t>最後沒有使用</t>
  </si>
  <si>
    <t>(1)調查研究：製作並發放問卷，預計工作時間6小時，共計200*6=1,200元</t>
  </si>
  <si>
    <t>(2)調查研究：彙整資料，整理問卷結果並製作圖文與師生分享問卷結果，預計工作時間4小時，共計200*4=800元。</t>
  </si>
  <si>
    <t>(3)教育推廣：講座工作人員，舉辦1場講座+工作坊5小時，需要2位工作人員，共200*5*2=2,000元</t>
  </si>
  <si>
    <t>講座：邀請校外講師2位進行講座，預計1位講者2小時，舉辦1場，共2,000*2*2=8,000元</t>
  </si>
  <si>
    <t>舉辦9/29(一)永續顧問工作坊因時長約8小時因此需申請40人之餐費預算(含講師、參與者、工作人員)。一人餐費100元，共40*100=4,000元</t>
  </si>
  <si>
    <t>調查研究、教育推廣及參與永續展覽期間印製海報及宣傳單等，預計花費600元。</t>
  </si>
  <si>
    <t>由於該次活動宣傳皆多以線上形式進行，因此未使用影印費。</t>
  </si>
  <si>
    <t>舉辦9/29(一)永續顧問工作坊因校內場地未開放，借用校外場地預計9,800元</t>
  </si>
  <si>
    <t>專案執行期間其他支出，預計花費500元</t>
  </si>
  <si>
    <t>本學期活動並沒有臨時需請領的部分或當初並未考量到的預算用途，故沒有動用雜支。</t>
  </si>
  <si>
    <t>每小時200元，預計投入16小時，共計200*16=3,200元</t>
  </si>
  <si>
    <t>(1)製圖費：預計將發布1次宣傳貼文，每篇貼文500字，每字0.8元，共計400元</t>
  </si>
  <si>
    <t>(2)製圖費：預計將進行3張的社群圖卡宣傳，每張圖200元，共計200*3=600元。</t>
  </si>
  <si>
    <t>執行此計畫之場地租費為1次，每次四小時700元，共700元。</t>
  </si>
  <si>
    <t>因場地由秘書部負責租借，故不需請款。</t>
  </si>
  <si>
    <t>因為大多由合辦單位提供或既有資源共用，所以沒用到雜支</t>
  </si>
  <si>
    <t>每小時200元，預計投入8小時，共計200*8=1,600元。</t>
  </si>
  <si>
    <t>主要借用合辦單位的現成資源和人力</t>
  </si>
  <si>
    <t>(1)稿費：預計將發布 1 次的宣傳／回饋貼文，每篇貼文 500 字，每字 0.8 元，共計 400 元</t>
  </si>
  <si>
    <t>沒有發文</t>
  </si>
  <si>
    <t>(2)製圖費：預計將進行 3 張的社群平台圖卡，一張圖 200 元，共計200*3= 600元。</t>
  </si>
  <si>
    <t>預計執行此計畫之場地租費為五次，每次四小時 700 元，共計700*5=3,500 元。</t>
  </si>
  <si>
    <t>每小時200元，預計投入7小時，共計200*7=1,400元。</t>
  </si>
  <si>
    <t>(1)稿費：預計將發布 7 次的宣傳貼文，每篇貼文 500 字，每字 0.8 元，共計400*7=2,800元。</t>
  </si>
  <si>
    <t>(2)製圖費：預計將進行 7張的社群圖卡宣傳，每張圖 200 元，共計200*7=1,400元。</t>
  </si>
  <si>
    <t>每小時200元，預計投入10小時，共計200*10=2,000元。</t>
  </si>
  <si>
    <t>(1)稿費：預計將發布1次的宣傳貼文，每篇貼文500字，每字0.8元，共計400元</t>
  </si>
  <si>
    <t>(2)製圖費：預計將進行3張的社群圖卡宣傳，每張圖200元，共計600元。</t>
  </si>
  <si>
    <t>預計邀請 1 位講者進行演講 24 小時，每小時 700 元，一天6小時，共四天，共24小時。共計 700*6*4=16,800 元。</t>
  </si>
  <si>
    <t>依預算法編列單位預算5%</t>
  </si>
  <si>
    <t>講師費：邀請3位專業講師為電影節工作團隊進行電影行銷、發行、影展辦理等活動之培力，每場1,500元，共2場。共計2*1,500=3,000元。</t>
  </si>
  <si>
    <t>講師費：邀請專業講師在影展期間舉行映後座談，一場2,000元，共4場，共計2,000*4=8,000元。</t>
  </si>
  <si>
    <t>(1)印刷費：海報。以校內經典印刷報價計算：「150P鋼板紙，A1，單面彩色印刷，8張」估價結果為1,600元。</t>
  </si>
  <si>
    <t>(2)印刷費：酷卡。以校內經典印刷報價計算：「一級卡，A6，彩色雙面印刷，600張」估價結果為2,000元。</t>
  </si>
  <si>
    <t>(3)印刷費：場次表。以校內經典印刷報價計算：「12.1x8.9cm，120磅雪銅紙。彩色單面印刷，1張」估價結果為378元。</t>
  </si>
  <si>
    <t>影展前兩週於社群媒體投放廣告一次，共1,200元。</t>
  </si>
  <si>
    <t>B09</t>
  </si>
  <si>
    <t>公關費</t>
  </si>
  <si>
    <t>與片商信件往來之郵資，共180元。</t>
  </si>
  <si>
    <t>B13</t>
  </si>
  <si>
    <t>授權費</t>
  </si>
  <si>
    <t>影片授權費：預計放映十場，每場以6,000元計，共計6,000*10=60,000元。</t>
  </si>
  <si>
    <t>授權費匯款手續費：以每次15元計算，預計放映四十部短片，共計40*15=600元。</t>
  </si>
  <si>
    <t>講師費：邀請專業講師在影展期間舉行映後座談，一場2,000元，共4場。共計2,000*4=8,000元。</t>
  </si>
  <si>
    <t>38-1期間未請講師來演講</t>
  </si>
  <si>
    <t>於影展開始前在小福擺攤，場地布置與文宣品耗材，共1,500元。</t>
  </si>
  <si>
    <t xml:space="preserve">(1)印刷費：海報。以校內經典印刷報價計算：「150P鋼板紙，A1，單面彩色印刷，8張」估價結果為1,600元。 </t>
  </si>
  <si>
    <t>(4)印刷費：影展手冊。以校內經典印刷報價計算：「A5，120磅雪銅紙。彩色雙面印刷，150本」估價結果為9,000元。</t>
  </si>
  <si>
    <t>38-1期間未使用廣告費</t>
  </si>
  <si>
    <t>影片授權費：預計放映十場，每場一部長片，每部片以9,200元計，共計10*9,200=92,000元。</t>
  </si>
  <si>
    <t>授權費匯款手續費：以每次15元計算，預計放映十部片，共計10*15=150元。</t>
  </si>
  <si>
    <t>(1)行政聯絡：接洽空間管理單位所需工作時間。時薪200元，3位負責人工時共40小時。共計200*40=8,000元。</t>
  </si>
  <si>
    <t>(2)活動工作：場勘、文獻整理、文案撰寫、導覽稿撰寫、活動側記等。時薪200元，人數6人，一人10小時。共計200*10*6=12,000元。</t>
  </si>
  <si>
    <t>(3)行政工作：製作表單、收發信件、緊急處理。時薪200元，3人，一人10小時。共計200*10*3=6,000元。</t>
  </si>
  <si>
    <t>(4)活動導覽：200元/小時，約16小時。共計200*16=3,200元。</t>
  </si>
  <si>
    <t>(5)導覽培訓：200元/小時，約16小時。共計200*16=3,200元。</t>
  </si>
  <si>
    <t>講師費：邀請專業講師演講或實地導覽，一場2,000元，共3場。共計2,000*3=6,000元。</t>
  </si>
  <si>
    <r>
      <rPr>
        <sz val="12"/>
        <color theme="1"/>
        <rFont val="Arial"/>
        <family val="2"/>
      </rPr>
      <t>附帶決議：</t>
    </r>
    <r>
      <rPr>
        <sz val="12"/>
        <color theme="1"/>
        <rFont val="Arial"/>
        <family val="2"/>
      </rPr>
      <t>需有實際工作</t>
    </r>
    <r>
      <rPr>
        <sz val="12"/>
        <color theme="1"/>
        <rFont val="Arial"/>
        <family val="2"/>
      </rPr>
      <t>事實</t>
    </r>
    <r>
      <rPr>
        <sz val="12"/>
        <color theme="1"/>
        <rFont val="Arial"/>
        <family val="2"/>
      </rPr>
      <t>方</t>
    </r>
    <r>
      <rPr>
        <sz val="12"/>
        <color theme="1"/>
        <rFont val="Arial"/>
        <family val="2"/>
      </rPr>
      <t>得支領。</t>
    </r>
  </si>
  <si>
    <t>工作坊材料費：材料費配合「園藝分場」辦理，預計一人元材料費150，約20人，共計150*20=3,000元。</t>
  </si>
  <si>
    <t>導覽空間：租借台大闈場一次2,800元，共計2,800元。</t>
  </si>
  <si>
    <t>(1)粉專經營工作費、特約商家簽約工作費：45小時（每日20分鐘），每小時200元。共計200*45=9,000元。</t>
  </si>
  <si>
    <t>(2)粉專發文、製圖稿費粉專：30篇，每篇300，共計300*30=9,000元。</t>
  </si>
  <si>
    <t>支援其他部門製圖、活動發佈、問卷宣傳之稿件費用。預計8篇，每篇300元，共300*8=2,400元。</t>
  </si>
  <si>
    <t>投放每日廣告費用150元，共90天。共計150*90=13,500元。</t>
  </si>
  <si>
    <t>(1)現場工作人員工作費：當日需配置 7 位工作人員，每人投入 2 小時，共計 14 小時，以每小時 200 元計算，共計為200*14= 2,800 元。</t>
  </si>
  <si>
    <t>(2)易經卜卦及塔羅算牌服務工作費：2 位具有此專業技能之人員，每位人員投入 2 小時，以每小時 300 元計算，共計300*2*2=1,200 元。</t>
  </si>
  <si>
    <t>租借聖誕樹充氣玩偶裝，租借單價為 679 元，租借數量 1 件，共計為 679 元。</t>
  </si>
  <si>
    <t>(1)選務組：選舉公告撰寫、選務流程規劃與執行，預計12.5小時。</t>
  </si>
  <si>
    <t>(2)票務組：選票設計與印刷、選票章戳作業，預計12.5小時。</t>
  </si>
  <si>
    <t>(3)人資組：選務人員召募作業、篩選錄取作業、選務人員訓練流程規劃與執行、選務人員管理與績效評估，預計12.5小時。</t>
  </si>
  <si>
    <t>(4)場地組：選舉場地挑選、整併與勘查，並與課外組協調，預計7.5小時。</t>
  </si>
  <si>
    <t>(5)財務組：本會請款資料搜集與整理、學生會請款作業、課外組補助請款作業，預計15小時。</t>
  </si>
  <si>
    <t>共計60小時，每小時200元。共計200*60=12,000元</t>
  </si>
  <si>
    <t>訴訟業務諮詢費：500元/次，預計1次。共計500元。</t>
  </si>
  <si>
    <t>依作業要點編列，本期間以6個月計算，500元 / 月，共一位副主委。共計500*6=3,000元</t>
  </si>
  <si>
    <t>(1)會議所需之正餐餐點，預計5次會議，每次15人，共75人次。</t>
  </si>
  <si>
    <t>(2)選務人員訓練本會成員所需之餐點，預計2次訓練，每次7人，共14人次。</t>
  </si>
  <si>
    <t>共計89人次。依作業要點編列：每人每次100元。共計89*100=8,900元</t>
  </si>
  <si>
    <t>(1)選務所需之文件印製，如行政文書、訓練教材、選票、名冊及各類宣傳文件等，參考前屆同期間預計共20,000元。</t>
  </si>
  <si>
    <t>估算本次選舉投票率較低而未多印選票，本來想加印海報而未成，往年遺留之行政文書、訓練教材、票匭封條尚有剩餘故未補印</t>
  </si>
  <si>
    <t>(2)本期印刷費不用於印製摸彩券。</t>
  </si>
  <si>
    <t>依作業要點編列。</t>
  </si>
  <si>
    <t>計劃統一減列80,000元。</t>
  </si>
  <si>
    <t>A01</t>
  </si>
  <si>
    <t>臨時工資</t>
  </si>
  <si>
    <t>(1)選舉當日本會人員：200元/時，預計14人，工時預計16小時(08:00~00:00)，超時前2小時267元/時，超時後6小時334元/時，共57,932元。</t>
  </si>
  <si>
    <t>(2)投票所選務人員：200元/時，預計30人，工時預估9小時(08:00~18:00，含休息1小時)，超時前1小時267元/時，共56,010元。</t>
  </si>
  <si>
    <t>(3)開票所選務人員：200元/時，預計10人，工時預計5小時(18:30~23:30)，共10,000元。</t>
  </si>
  <si>
    <t>(4)選務前置作業：200元/時，預計14人，工時預計8小時，共22,400元。</t>
  </si>
  <si>
    <t>(5)投票所主任選務人員前置作業：200元/時，預計10人，工時預計2小時，共4,000元。</t>
  </si>
  <si>
    <t>(6)選務善後作業：400元/時，預計15人，工時預計3小時，共18,000元。</t>
  </si>
  <si>
    <t>(7)選舉績效獎金：以時段計（投票計為上午時段及下午時段二時段，開票計為一時段），500元/時段，預計112人次，共56,000元。</t>
  </si>
  <si>
    <t>A91</t>
  </si>
  <si>
    <t>勞保費</t>
  </si>
  <si>
    <t>依作業要點編列，臨時工資所需之勞保費，參考去年同期，共5,000元。</t>
  </si>
  <si>
    <t>A92</t>
  </si>
  <si>
    <t>勞退費</t>
  </si>
  <si>
    <t>依作業要點編列，臨時工資所需之勞退費，參考去年同期，預計2,000元。</t>
  </si>
  <si>
    <t>(1)選舉前置作業餐費：預計1餐，預計15人，共15人次</t>
  </si>
  <si>
    <t>(2)投票所餐費：預計1餐，預計55人，共55人次。</t>
  </si>
  <si>
    <t>(3)開票所餐費：預計1餐，預計30人，共30人次。</t>
  </si>
  <si>
    <t>共計100人次。依作業要點編列：每人每次100元。共計10,000元</t>
  </si>
  <si>
    <t>選舉用具：預計5,000元。</t>
  </si>
  <si>
    <t>(1)合作社大福場地年費：18,000。本次年費效期至114-2學期結束。</t>
  </si>
  <si>
    <t>(2)合作社大福積欠場地費：6,000，清償113-2場地費。</t>
  </si>
  <si>
    <t>B11</t>
  </si>
  <si>
    <t>運費</t>
  </si>
  <si>
    <t>票匭運費：租用車輛搬運票匭往返各投票所與開票所及選票運送，參考去年同期預計11,000元。</t>
  </si>
  <si>
    <t>本學期未選擇租用價格高昂之鐵櫃頂棚貨車，以及本次開票所與選舉用具倉庫均位於大福，故貨車未如往年租借至選舉後一天</t>
  </si>
  <si>
    <t>選舉當日各投票所即時通訊用對講機，預計10台，預計單價150/日，共計10台/日。共計1,500元</t>
  </si>
  <si>
    <t>租用貨車所需保險費，含事故雙方車損、駕駛人及乘客傷亡。預計3日。</t>
  </si>
  <si>
    <t>B18</t>
  </si>
  <si>
    <t>訓練費</t>
  </si>
  <si>
    <t>選務人員訓練費：200元/時，含候補預計每場40人，預計2場，每場2小時，共160人時場。</t>
  </si>
  <si>
    <t>系統開發工作費，每小時250元，預計100小時。</t>
  </si>
  <si>
    <t>凍結2,500元，解凍條件：送交系統設計文件以及資安風險評估報告至大會備查後始得動支。</t>
  </si>
  <si>
    <t>學生證感應設備採購，預計單價300元，預計共10台。</t>
  </si>
  <si>
    <t>預估進行學生會選舉相關法規修正所需工時，20小時，200元/時，並依實際工時支領</t>
  </si>
  <si>
    <t>幹部工作費：5人，每人2小時/週，200/時，共200*2*16*5= 32,000元。</t>
  </si>
  <si>
    <t>依作業要點編列，本期間以6個月計算，500元 / 月，共二位副部長。共計500*6*2=6,000元</t>
  </si>
  <si>
    <t>B03</t>
  </si>
  <si>
    <t>茶點費</t>
  </si>
  <si>
    <t>依作業要點編列，本期間以2次計算，每次25人，75元 / 人次。共計75*25*2=3,750元。</t>
  </si>
  <si>
    <t>鐘點費 – 翻譯費：翻譯時長為 3 小時，以2人、每小時1,500元計算，共計1,500*3*2 = 9,000元。</t>
  </si>
  <si>
    <t>參與者餐費：預計有70位參與者，以每人120元估算，共計120*70 = 8,400元</t>
  </si>
  <si>
    <t>海報、講義及其他紙本文件：海報、講義、報到表等，共2,500元。</t>
  </si>
  <si>
    <t>因上學期無人手關係，因此未列印出實體海報</t>
  </si>
  <si>
    <t>第一會議室：會議預計租借第一會議室作為會場，共3,000元。</t>
  </si>
  <si>
    <t>減列1,500元。當時由國際處租借場地，因此無需另行處理。
（已修改數額及文字如左）</t>
  </si>
  <si>
    <t>B07</t>
  </si>
  <si>
    <t>獎品費</t>
  </si>
  <si>
    <t>填寫問卷者：抽取10人發放Care Bear 托特包，一個單價580元，共計5,800元。</t>
  </si>
  <si>
    <t>工作費：18:00 場佈開始至 21:00 場復結束, 同時工作人數 2 人，以法定基本工資每小時200 元計，總共 2*3*200=1,200 元。</t>
  </si>
  <si>
    <t>參與者餐費：預計有30位參與者，以每人120元估算，共計30*120=3,600元</t>
  </si>
  <si>
    <t>耗材費: 活動當天使用之餐具，概估共 600元。</t>
  </si>
  <si>
    <t>3樓沃思空間(coSPACE)：會議預計租借三樓沃思空間(coSPACE)作為會議場地，共1800元</t>
  </si>
  <si>
    <t>因原場地在該時間已被借出，因此更改至新生舉辦。</t>
  </si>
  <si>
    <t>依作業要點編列，每一計畫不超過500元</t>
  </si>
  <si>
    <t>(1)粉專製圖：300/張，預計1張，共300元。</t>
  </si>
  <si>
    <t>(2)文字稿費(長：300字）：300元/篇，預估1篇，共300元。</t>
  </si>
  <si>
    <t>參與者餐費：預計有40位參與者與10位人員，以每人100元估算，共100*50=5,000元</t>
  </si>
  <si>
    <r>
      <rPr>
        <sz val="12"/>
        <color theme="1"/>
        <rFont val="Arial"/>
        <family val="2"/>
      </rPr>
      <t>凍結</t>
    </r>
    <r>
      <rPr>
        <sz val="12"/>
        <color theme="1"/>
        <rFont val="Arial"/>
        <family val="2"/>
      </rPr>
      <t>5,000</t>
    </r>
    <r>
      <rPr>
        <sz val="12"/>
        <color theme="1"/>
        <rFont val="Arial"/>
        <family val="2"/>
      </rPr>
      <t>元，解凍條件：補正預算書中行政計畫內容，包含但不限於計畫內容及整體規劃、預期效益評估，送大會備查後始得動支。</t>
    </r>
  </si>
  <si>
    <t>.</t>
  </si>
  <si>
    <t>活動用品道具：活動使用的 photo booth 材料、遊戲設備、卡片等，概估共1,000元。</t>
  </si>
  <si>
    <t>海報文宣印製：宣傳海報、報到表等，概估共200元。</t>
  </si>
  <si>
    <t>因缺少部員/人力，因此無法列印出實體海報。</t>
  </si>
  <si>
    <t>參與者餐費：預計有60位參與者與人員，以每人100元估算，共100*60= 6,000元</t>
  </si>
  <si>
    <t>活動使用的 photo booth 材料、遊戲設備、卡片等，概估共500元。</t>
  </si>
  <si>
    <t>因活動設計都由合作社團處理，因此無需處理設計與影印的部分。</t>
  </si>
  <si>
    <t>海報文宣印製：宣傳海報、報到表等，概估共500元</t>
  </si>
  <si>
    <t>新生（夜間）：預計租借新生教室（60人）平日夜間時段，共700元。</t>
  </si>
  <si>
    <t>場地經過合作社團討論後，更改至國青B1舉辦。</t>
  </si>
  <si>
    <r>
      <rPr>
        <sz val="12"/>
        <color rgb="FF000000"/>
        <rFont val="Arial"/>
        <family val="2"/>
      </rPr>
      <t>(1)海報設計費－應本活動之宣傳需求，需製作宣傳海報。惟本部社群媒體組尚在招募階段，且無留任幹部承接相關職務，因此需尋求外部支援，設計大約需5小時 (時薪200)，共需1位， 概估共 1,000元。</t>
    </r>
  </si>
  <si>
    <t>(2) 打卡道具費－應本活動之打卡需求，需製作製作打卡道具。惟本部社群媒體組尚在招募階段，且無留任幹部承接相關職務，因此需尋求外部支援，設計大約需5小時 (時薪200)，共需1位， 概估共 1,000元。</t>
  </si>
  <si>
    <t>文字稿費(長：300字）：300元/篇，預估1篇，共300元。</t>
  </si>
  <si>
    <r>
      <rPr>
        <sz val="12"/>
        <color rgb="FF000000"/>
        <rFont val="Arial"/>
        <family val="2"/>
      </rPr>
      <t>鐘點費 – 工作坊講師費：工作坊講師時長為 3 小時，以每小時600元計算</t>
    </r>
  </si>
  <si>
    <t>部員認為可自己教，因此無需講師。</t>
  </si>
  <si>
    <r>
      <rPr>
        <sz val="12"/>
        <color rgb="FF000000"/>
        <rFont val="Arial"/>
        <family val="2"/>
      </rPr>
      <t>，共600*3=1,800元。</t>
    </r>
  </si>
  <si>
    <r>
      <rPr>
        <sz val="12"/>
        <color rgb="FF000000"/>
        <rFont val="Arial"/>
        <family val="2"/>
      </rPr>
      <t>參與者餐費：預計有40位參與者與10位人員，以每人70元估算</t>
    </r>
  </si>
  <si>
    <r>
      <rPr>
        <sz val="12"/>
        <color theme="1"/>
        <rFont val="Arial"/>
        <family val="2"/>
      </rPr>
      <t>凍結</t>
    </r>
    <r>
      <rPr>
        <sz val="12"/>
        <color theme="1"/>
        <rFont val="Arial"/>
        <family val="2"/>
      </rPr>
      <t>3,500</t>
    </r>
    <r>
      <rPr>
        <sz val="12"/>
        <color theme="1"/>
        <rFont val="Arial"/>
        <family val="2"/>
      </rPr>
      <t>元，解凍條件：補正預算書中行政計畫內容，包含但不限於計畫內容及整體規劃、預期效益評估，送大會備查後始得動支。</t>
    </r>
  </si>
  <si>
    <t>，共70*50=3,500元</t>
  </si>
  <si>
    <r>
      <rPr>
        <sz val="12"/>
        <color rgb="FF000000"/>
        <rFont val="Arial"/>
        <family val="2"/>
      </rPr>
      <t>(1)活動使用的工作坊用花材，概估共 4000 元。</t>
    </r>
  </si>
  <si>
    <t>減列1,067元。
（已修改數額及文字如左）</t>
  </si>
  <si>
    <r>
      <rPr>
        <sz val="12"/>
        <color rgb="FF000000"/>
        <rFont val="Arial"/>
        <family val="2"/>
      </rPr>
      <t>(2)活動使用的工作坊材料、紙張及其他手作材料，概估共 200 元。</t>
    </r>
  </si>
  <si>
    <t>海報文宣印製：宣傳海報、報到表等，概估共200元</t>
  </si>
  <si>
    <t>因當時人力不足，因此無列印實體海報</t>
  </si>
  <si>
    <t>125 人 × 7.25 美元 (pro plan) × 12 個月 × 32 台幣/美元
× 0.15 折扣 (education discount) = 52,200 元。</t>
  </si>
  <si>
    <t>(1)工作費-問卷設計工作費：每小時 200，共 6 小時，總計 1,200。</t>
  </si>
  <si>
    <t>(2)工作費-系統開發工作費：每小時 200，共 18 小時，總計 3,600。</t>
  </si>
  <si>
    <t>(3)工作費-分析結果撰寫：每小時 200，共 2 小時，總計 400。</t>
  </si>
  <si>
    <t>(1)工作費－專案追蹤工作費 200*10=2,000</t>
  </si>
  <si>
    <t>(2)工作費－校方聯絡工作費 200*10=2,000</t>
  </si>
  <si>
    <t>(3)工作費－文件處理工作費 200*4=800</t>
  </si>
  <si>
    <t>(1)工作費－校方聯絡工作費 200*10=2,000</t>
  </si>
  <si>
    <t>(2)工作費－部門培力工作費 200*18=3,600</t>
  </si>
  <si>
    <t>(1)工作費－案件處理工作費 200*40=8,000</t>
  </si>
  <si>
    <t>(2)工作費－校方聯絡工作費 200*20=4,000</t>
  </si>
  <si>
    <t>使用 UptimeRobot 等服務進行資訊相關突發事件追蹤，一年的使用費共 2,520 元。</t>
  </si>
  <si>
    <t>本期尚未開始使用此服務</t>
  </si>
  <si>
    <t>(1) 速記人員工作費：250元/時，預計54小時，共13,500元。</t>
  </si>
  <si>
    <t>(2) 場務人員工作費：200元/時，預計30小時，共6,000元。</t>
  </si>
  <si>
    <t>(3) 秘書人員工作費：200元/時，預計48小時，共9,600元。</t>
  </si>
  <si>
    <t>(4) 社群平台管理工作費：200元/時，預計10小時，共2,000元。</t>
  </si>
  <si>
    <t>(5) 選舉監察委員投票日工作費：200元/時，超時後的前2小時以270元/時計，超時後的第3-4小時以340元/時計，超時後的第4小時起以400元/時計，每時段以3人計，共9,060元。</t>
  </si>
  <si>
    <t>(6)校務會議會後學生代表會議工作費：200元/時，預計6小時，共1,200元。</t>
  </si>
  <si>
    <t>(7)追加速記人員工作費：250元/時，預計30小時，共7,500元。</t>
  </si>
  <si>
    <t>(1) 公報稿費：每次會議公報稿費為1,500元，本會期預計舉辦6次會議，共9,000元。</t>
  </si>
  <si>
    <t>(2) 名片設計稿費：200/時，預計5小時，共1,000元。</t>
  </si>
  <si>
    <t>通譯鐘點費：500元/時，預計6小時，共3,000元。</t>
  </si>
  <si>
    <t>(1) 正副議長行政費：本會有1位議長、1位副議長，1000元/時，本期間以6個月計算，共12,000元。</t>
  </si>
  <si>
    <t>(2) 正副秘書長行政費：本會有1位秘書長、2位副秘書長，500元/時，本期間以6個月計算，共9,000元。</t>
  </si>
  <si>
    <t>(1)會議誤餐費：120元/餐，每次會議以40人計，本會期預計舉辦6次會議，共28,800元。120元/餐，每次會議以40人計，本會期預計舉辦6次會議，共28,800元。</t>
  </si>
  <si>
    <t>修正科目名稱為「餐費」
（已修改數額及文字如左）</t>
  </si>
  <si>
    <t>(2)選舉監察委員誤餐費：120元/餐，給付選舉監察委員投票日用餐，投票日以一人2餐計，共5位選舉監察委員，共1,200元。</t>
  </si>
  <si>
    <t>(1) 名片印刷費：本會期預計印刷30人名片，每人名片需100元，共3,000元。</t>
  </si>
  <si>
    <t>(2) 簽到單、選票、照片、場地申請單等雜項印刷費：共計1,500元。</t>
  </si>
  <si>
    <t>開會場地借用，預計借用含空調的新生教學館教室1080元/次，本會期預計舉辦6次會議，共6,480元。</t>
  </si>
  <si>
    <t>學代會議事暨法規系統資料庫、雲端空間等費用，每月500元（依往例估算），本期間以6個月計，共3,000元。</t>
  </si>
  <si>
    <t>專案執行期間其他支出，預計花費 500 元。</t>
  </si>
  <si>
    <t xml:space="preserve">友校學生自治機關交流計劃   </t>
  </si>
  <si>
    <t>協助活動執行：初估第一期間執行此計畫所需投入時間至少為 20 小時，時薪 200，共 4,000 元。</t>
  </si>
  <si>
    <t>活動誤餐費：初估第一期間執行此計劃需購置至少50餐（本校20人、北大20人、師大10人），每餐 120 元，共 6,000 元。</t>
  </si>
  <si>
    <t>簽到單、照片等雜項印刷費：概估第一期間執行此計劃需花費1,000元。</t>
  </si>
  <si>
    <t>(1)購置禮品贈與協辦單位：初估第一期間執行此計劃需贈與 3 單位，每單位 300  元，共 900 元。</t>
  </si>
  <si>
    <t>(2)購置禮品贈與參與者：購置禮品贈與參與者：初估第一期間執行此計劃需贈與 30 人（以外校同學數量計算），每人 50  元，共 1,500 元。</t>
  </si>
  <si>
    <t>紀念照掛號費：照片寄予友校學生議會留念，概估掛號郵資為至少 200 元。</t>
  </si>
  <si>
    <t>學代議事培力坊</t>
  </si>
  <si>
    <t>活動籌備與執行：初估第一期間執行此計畫所需投入時間至少為 20 小時，時薪 200，共 4,000 元。</t>
  </si>
  <si>
    <t>講師鐘點費：參酌《講座鐘點費支給表》，外聘國內專家學者之上限為 1 人 2000 元。預計執行此計畫將邀請至少 4 位講者進行對談，共 8,000 元。</t>
  </si>
  <si>
    <t>活動誤餐費：初估第一期間執行此計劃需購置至少60餐，每餐 120 元，共 7,200 元。</t>
  </si>
  <si>
    <t>租借費用：預計執行此計畫之場地租費為兩次，每次四小時 1,080 元，共 2,160 元。</t>
  </si>
  <si>
    <t>活動誤餐費：初估第一期間執行此計劃需購置至少40餐，每餐 120 元，共 6,000 元。</t>
  </si>
  <si>
    <t>依作業要點編列，每位講師編列500元差旅費，4位講師共2,000元。</t>
  </si>
  <si>
    <t>講師鐘點費：參酌《講座鐘點費支給表》，外聘國內專家學者之上限為 1 人 2000 元，</t>
  </si>
  <si>
    <t>預計執行此計畫將邀請2位講者進行對談，共 4,000 元。</t>
  </si>
  <si>
    <t>活動場地費：參考思享森林咖啡廳學生方案，一次兩小時（30人次）為9,000元。</t>
  </si>
  <si>
    <t>附帶決議：建請優先考慮校內場地。</t>
  </si>
  <si>
    <t>(1)秘書人員工作費：初估第一期間執行此計劃所需投入時間至少為20小時，時薪200，共4,000元。</t>
  </si>
  <si>
    <t>(2)攝影人員工作費：初估第一期間執行此計劃所需投入時間至少為30小時，時薪250，共7,500元。</t>
  </si>
  <si>
    <t>通譯人員鐘點費：因泰國非英語系國家，確有通譯之需求，初估第一期間執行此計劃所需投入時間至少為15小時，時薪500，共7,500元。</t>
  </si>
  <si>
    <t>三餐費用：初估第一期間執行此計劃所需日數為7日，每人一日三餐，共20人。每餐120元，共50,400元。</t>
  </si>
  <si>
    <t>管院黃子軒提議刪減為0，無異議通過。</t>
  </si>
  <si>
    <t>報告書、照片等雜項印刷費：概估第一期間執行此計劃需花費1,000元。</t>
  </si>
  <si>
    <t>購置禮品贈與參訪單位：初估第一期間執行此計劃需贈與10單位，每單位1,000元，共10,000元。</t>
  </si>
  <si>
    <t>(1)機票費：以TPE-BKK往返預估，每人每趟3,500元，20人共140,000元。</t>
  </si>
  <si>
    <t>(2)泰國境內交通費：初估第一期間執行此計劃每人需花費1,500元（概估），共30,000元。</t>
  </si>
  <si>
    <t>(3)住宿費：初估每人每晚1,500元（概估），20人6晚共180,000元。</t>
  </si>
  <si>
    <t>以七日份「醫療險+旅平險+不便險」預估，每人1,500元，20人共30,000元。</t>
  </si>
  <si>
    <t>附帶決議：建請司法部門派員出席預算審查相關程序。</t>
  </si>
  <si>
    <t>A31</t>
  </si>
  <si>
    <t>評議費</t>
  </si>
  <si>
    <t>300 人/次，同一案至多3次，預估下級庭5案、上級庭2案，解釋庭2案。</t>
  </si>
  <si>
    <t>A32</t>
  </si>
  <si>
    <t>裁判費</t>
  </si>
  <si>
    <t>(1) 下級庭：每案2,100*5=10,500元</t>
  </si>
  <si>
    <t>(2) 上級庭：每案2,500*2=5,000元</t>
  </si>
  <si>
    <t>(3) 解釋庭：每案4,500*2=9,000元</t>
  </si>
  <si>
    <t>A33</t>
  </si>
  <si>
    <t>鑑定費</t>
  </si>
  <si>
    <t>囑託個人或團體鑑定，依鑑定複雜程度按件酌給，每案2組鑑定人，每組估1,500元，預計有2案。共計6,000元</t>
  </si>
  <si>
    <t>A34</t>
  </si>
  <si>
    <t>裁判彙編編輯費暨研究費</t>
  </si>
  <si>
    <t>更新裁判彙編（含案由、關鍵字）。250元*20小時=5,000元</t>
  </si>
  <si>
    <t>A35</t>
  </si>
  <si>
    <t>書記官筆錄謄打費</t>
  </si>
  <si>
    <t>每次開庭之筆錄500元，預計5次。共計500*5=2,500元</t>
  </si>
  <si>
    <t>依作業要點編列，本期間以6月計算，1,000元 / 月。共計6*1,000=6,000元</t>
  </si>
  <si>
    <t>(1) 院務會議（10人*80*2次)。共計10*80*2=1,600元</t>
  </si>
  <si>
    <t>(2) 下級庭（4人*80*4次）。共計4*80*4=1,280元</t>
  </si>
  <si>
    <t>(3) 上級庭（6人*80*2次）。共計6*80*2=960元</t>
  </si>
  <si>
    <t>(4) 解釋庭（10人*80*1次）。共計10*80*1=800元</t>
  </si>
  <si>
    <t>卷宗影印（每庭預估100元*7次）。共計100*7=700元</t>
  </si>
  <si>
    <t>證人與鑑定人出庭補助：每次行政庭400元，每人補助200元，預估2人，開4次。共計200*2*4=1,600元</t>
  </si>
  <si>
    <t>返鄉專車</t>
  </si>
  <si>
    <t>20-30萬</t>
  </si>
  <si>
    <t>校慶</t>
  </si>
  <si>
    <t>跟院學生會合辦</t>
  </si>
  <si>
    <t>攤位 帳篷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</si>
</sst>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#,###"/>
  </numFmts>
  <fonts count="31">
    <font>
      <sz val="10"/>
      <color rgb="FF000000"/>
      <name val="Arial"/>
      <scheme val="minor"/>
    </font>
    <font>
      <b/>
      <u/>
      <sz val="14"/>
      <color theme="1"/>
      <name val="Source Sans Pro"/>
    </font>
    <font>
      <sz val="12"/>
      <color theme="1"/>
      <name val="Arial"/>
    </font>
    <font>
      <sz val="12"/>
      <color theme="1"/>
      <name val="Source Sans Pro"/>
    </font>
    <font>
      <sz val="10"/>
      <name val="Arial"/>
    </font>
    <font>
      <sz val="10"/>
      <color theme="1"/>
      <name val="Source Sans Pro"/>
    </font>
    <font>
      <b/>
      <sz val="14"/>
      <color theme="1"/>
      <name val="Source Sans Pro"/>
    </font>
    <font>
      <b/>
      <sz val="12"/>
      <color theme="1"/>
      <name val="Source Sans Pro"/>
    </font>
    <font>
      <b/>
      <sz val="12"/>
      <color theme="1"/>
      <name val="Arial"/>
    </font>
    <font>
      <sz val="11"/>
      <color theme="1"/>
      <name val="Source sans pro"/>
    </font>
    <font>
      <sz val="11"/>
      <color theme="1"/>
      <name val="Arial"/>
    </font>
    <font>
      <sz val="10"/>
      <color theme="1"/>
      <name val="Arial"/>
    </font>
    <font>
      <b/>
      <u/>
      <sz val="14"/>
      <color theme="1"/>
      <name val="Arial"/>
    </font>
    <font>
      <b/>
      <sz val="14"/>
      <color theme="1"/>
      <name val="Arial"/>
    </font>
    <font>
      <sz val="12"/>
      <color rgb="FFFF0000"/>
      <name val="Arial"/>
    </font>
    <font>
      <sz val="12"/>
      <color rgb="FF000000"/>
      <name val="Arimo"/>
    </font>
    <font>
      <sz val="12"/>
      <color rgb="FF1F1F1F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b/>
      <u/>
      <sz val="12"/>
      <color theme="1"/>
      <name val="Arial"/>
      <family val="2"/>
    </font>
    <font>
      <sz val="12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FF0000"/>
      <name val="Arial"/>
      <family val="2"/>
    </font>
    <font>
      <b/>
      <sz val="10"/>
      <color rgb="FFFF0000"/>
      <name val="Arial"/>
      <family val="2"/>
    </font>
    <font>
      <b/>
      <u/>
      <sz val="14"/>
      <color theme="1"/>
      <name val="Arial"/>
      <family val="2"/>
    </font>
    <font>
      <b/>
      <u/>
      <sz val="12"/>
      <color theme="1"/>
      <name val="Arial"/>
      <family val="2"/>
    </font>
    <font>
      <b/>
      <u/>
      <sz val="14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9"/>
      <name val="Arial"/>
      <family val="3"/>
      <charset val="136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C7C7C7"/>
        <bgColor rgb="FFC7C7C7"/>
      </patternFill>
    </fill>
  </fills>
  <borders count="2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0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2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3" fontId="3" fillId="0" borderId="3" xfId="0" applyNumberFormat="1" applyFont="1" applyBorder="1" applyAlignment="1">
      <alignment horizontal="center" vertical="center" wrapText="1"/>
    </xf>
    <xf numFmtId="176" fontId="3" fillId="0" borderId="4" xfId="0" applyNumberFormat="1" applyFont="1" applyBorder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5" fillId="0" borderId="0" xfId="0" applyFont="1"/>
    <xf numFmtId="0" fontId="6" fillId="0" borderId="7" xfId="0" applyFont="1" applyBorder="1" applyAlignment="1">
      <alignment horizontal="center"/>
    </xf>
    <xf numFmtId="177" fontId="6" fillId="0" borderId="7" xfId="0" applyNumberFormat="1" applyFont="1" applyBorder="1"/>
    <xf numFmtId="176" fontId="6" fillId="0" borderId="3" xfId="0" applyNumberFormat="1" applyFont="1" applyBorder="1" applyAlignment="1">
      <alignment horizontal="right"/>
    </xf>
    <xf numFmtId="3" fontId="6" fillId="0" borderId="4" xfId="0" applyNumberFormat="1" applyFont="1" applyBorder="1"/>
    <xf numFmtId="176" fontId="6" fillId="0" borderId="8" xfId="0" applyNumberFormat="1" applyFont="1" applyBorder="1" applyAlignment="1">
      <alignment horizontal="right"/>
    </xf>
    <xf numFmtId="176" fontId="6" fillId="0" borderId="4" xfId="0" applyNumberFormat="1" applyFont="1" applyBorder="1" applyAlignment="1">
      <alignment horizontal="right"/>
    </xf>
    <xf numFmtId="176" fontId="6" fillId="0" borderId="0" xfId="0" applyNumberFormat="1" applyFont="1" applyAlignment="1">
      <alignment horizontal="right"/>
    </xf>
    <xf numFmtId="0" fontId="7" fillId="0" borderId="9" xfId="0" applyFont="1" applyBorder="1" applyAlignment="1">
      <alignment horizontal="center"/>
    </xf>
    <xf numFmtId="0" fontId="7" fillId="0" borderId="0" xfId="0" applyFont="1"/>
    <xf numFmtId="177" fontId="7" fillId="0" borderId="7" xfId="0" applyNumberFormat="1" applyFont="1" applyBorder="1"/>
    <xf numFmtId="176" fontId="7" fillId="0" borderId="0" xfId="0" applyNumberFormat="1" applyFont="1"/>
    <xf numFmtId="3" fontId="7" fillId="0" borderId="4" xfId="0" applyNumberFormat="1" applyFont="1" applyBorder="1"/>
    <xf numFmtId="176" fontId="7" fillId="0" borderId="4" xfId="0" applyNumberFormat="1" applyFont="1" applyBorder="1"/>
    <xf numFmtId="0" fontId="7" fillId="2" borderId="10" xfId="0" applyFont="1" applyFill="1" applyBorder="1" applyAlignment="1">
      <alignment horizontal="center"/>
    </xf>
    <xf numFmtId="3" fontId="7" fillId="2" borderId="13" xfId="0" applyNumberFormat="1" applyFont="1" applyFill="1" applyBorder="1"/>
    <xf numFmtId="176" fontId="7" fillId="2" borderId="14" xfId="0" applyNumberFormat="1" applyFont="1" applyFill="1" applyBorder="1"/>
    <xf numFmtId="3" fontId="7" fillId="2" borderId="14" xfId="0" applyNumberFormat="1" applyFont="1" applyFill="1" applyBorder="1" applyAlignment="1">
      <alignment vertical="center"/>
    </xf>
    <xf numFmtId="0" fontId="7" fillId="2" borderId="14" xfId="0" applyFont="1" applyFill="1" applyBorder="1"/>
    <xf numFmtId="10" fontId="7" fillId="2" borderId="15" xfId="0" applyNumberFormat="1" applyFont="1" applyFill="1" applyBorder="1"/>
    <xf numFmtId="0" fontId="7" fillId="2" borderId="15" xfId="0" applyFont="1" applyFill="1" applyBorder="1"/>
    <xf numFmtId="0" fontId="3" fillId="0" borderId="9" xfId="0" applyFont="1" applyBorder="1" applyAlignment="1">
      <alignment horizontal="center"/>
    </xf>
    <xf numFmtId="0" fontId="3" fillId="0" borderId="0" xfId="0" applyFont="1"/>
    <xf numFmtId="177" fontId="3" fillId="0" borderId="7" xfId="0" applyNumberFormat="1" applyFont="1" applyBorder="1"/>
    <xf numFmtId="176" fontId="3" fillId="0" borderId="4" xfId="0" applyNumberFormat="1" applyFont="1" applyBorder="1" applyAlignment="1">
      <alignment horizontal="right"/>
    </xf>
    <xf numFmtId="3" fontId="3" fillId="0" borderId="4" xfId="0" applyNumberFormat="1" applyFont="1" applyBorder="1"/>
    <xf numFmtId="176" fontId="3" fillId="0" borderId="4" xfId="0" applyNumberFormat="1" applyFont="1" applyBorder="1"/>
    <xf numFmtId="10" fontId="3" fillId="0" borderId="0" xfId="0" applyNumberFormat="1" applyFont="1"/>
    <xf numFmtId="3" fontId="3" fillId="0" borderId="0" xfId="0" applyNumberFormat="1" applyFont="1"/>
    <xf numFmtId="0" fontId="3" fillId="0" borderId="7" xfId="0" applyFont="1" applyBorder="1" applyAlignment="1">
      <alignment horizontal="right"/>
    </xf>
    <xf numFmtId="3" fontId="3" fillId="0" borderId="4" xfId="0" applyNumberFormat="1" applyFont="1" applyBorder="1" applyAlignment="1">
      <alignment horizontal="right"/>
    </xf>
    <xf numFmtId="3" fontId="3" fillId="0" borderId="7" xfId="0" applyNumberFormat="1" applyFont="1" applyBorder="1" applyAlignment="1">
      <alignment horizontal="right"/>
    </xf>
    <xf numFmtId="176" fontId="3" fillId="0" borderId="0" xfId="0" applyNumberFormat="1" applyFont="1" applyAlignment="1">
      <alignment horizontal="right"/>
    </xf>
    <xf numFmtId="0" fontId="7" fillId="0" borderId="7" xfId="0" applyFont="1" applyBorder="1"/>
    <xf numFmtId="3" fontId="7" fillId="0" borderId="7" xfId="0" applyNumberFormat="1" applyFont="1" applyBorder="1"/>
    <xf numFmtId="3" fontId="7" fillId="0" borderId="0" xfId="0" applyNumberFormat="1" applyFont="1"/>
    <xf numFmtId="176" fontId="7" fillId="2" borderId="13" xfId="0" applyNumberFormat="1" applyFont="1" applyFill="1" applyBorder="1"/>
    <xf numFmtId="176" fontId="7" fillId="2" borderId="15" xfId="0" applyNumberFormat="1" applyFont="1" applyFill="1" applyBorder="1"/>
    <xf numFmtId="176" fontId="3" fillId="0" borderId="7" xfId="0" applyNumberFormat="1" applyFont="1" applyBorder="1" applyAlignment="1">
      <alignment horizontal="right"/>
    </xf>
    <xf numFmtId="0" fontId="3" fillId="0" borderId="0" xfId="0" applyFont="1" applyAlignment="1">
      <alignment horizontal="center"/>
    </xf>
    <xf numFmtId="0" fontId="3" fillId="0" borderId="7" xfId="0" applyFont="1" applyBorder="1"/>
    <xf numFmtId="176" fontId="3" fillId="0" borderId="0" xfId="0" applyNumberFormat="1" applyFont="1"/>
    <xf numFmtId="3" fontId="3" fillId="0" borderId="7" xfId="0" applyNumberFormat="1" applyFont="1" applyBorder="1"/>
    <xf numFmtId="3" fontId="7" fillId="2" borderId="15" xfId="0" applyNumberFormat="1" applyFont="1" applyFill="1" applyBorder="1"/>
    <xf numFmtId="0" fontId="3" fillId="0" borderId="6" xfId="0" applyFont="1" applyBorder="1" applyAlignment="1">
      <alignment horizontal="center"/>
    </xf>
    <xf numFmtId="3" fontId="3" fillId="0" borderId="16" xfId="0" applyNumberFormat="1" applyFont="1" applyBorder="1" applyAlignment="1">
      <alignment horizontal="right"/>
    </xf>
    <xf numFmtId="176" fontId="3" fillId="0" borderId="5" xfId="0" applyNumberFormat="1" applyFont="1" applyBorder="1" applyAlignment="1">
      <alignment horizontal="right"/>
    </xf>
    <xf numFmtId="177" fontId="3" fillId="0" borderId="0" xfId="0" applyNumberFormat="1" applyFont="1"/>
    <xf numFmtId="3" fontId="3" fillId="0" borderId="0" xfId="0" applyNumberFormat="1" applyFont="1" applyAlignment="1">
      <alignment horizontal="left"/>
    </xf>
    <xf numFmtId="49" fontId="3" fillId="0" borderId="1" xfId="0" applyNumberFormat="1" applyFont="1" applyBorder="1" applyAlignment="1">
      <alignment horizontal="center"/>
    </xf>
    <xf numFmtId="3" fontId="3" fillId="0" borderId="3" xfId="0" applyNumberFormat="1" applyFont="1" applyBorder="1" applyAlignment="1">
      <alignment horizontal="center"/>
    </xf>
    <xf numFmtId="10" fontId="3" fillId="0" borderId="3" xfId="0" applyNumberFormat="1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/>
    </xf>
    <xf numFmtId="49" fontId="3" fillId="0" borderId="17" xfId="0" applyNumberFormat="1" applyFont="1" applyBorder="1" applyAlignment="1">
      <alignment horizontal="center"/>
    </xf>
    <xf numFmtId="0" fontId="3" fillId="0" borderId="0" xfId="0" applyFont="1" applyAlignment="1">
      <alignment horizontal="center" wrapText="1"/>
    </xf>
    <xf numFmtId="3" fontId="3" fillId="0" borderId="7" xfId="0" applyNumberFormat="1" applyFont="1" applyBorder="1" applyAlignment="1">
      <alignment horizontal="center"/>
    </xf>
    <xf numFmtId="10" fontId="3" fillId="0" borderId="7" xfId="0" applyNumberFormat="1" applyFont="1" applyBorder="1" applyAlignment="1">
      <alignment horizontal="center"/>
    </xf>
    <xf numFmtId="3" fontId="3" fillId="0" borderId="4" xfId="0" applyNumberFormat="1" applyFont="1" applyBorder="1" applyAlignment="1">
      <alignment horizontal="center"/>
    </xf>
    <xf numFmtId="49" fontId="3" fillId="0" borderId="3" xfId="0" applyNumberFormat="1" applyFont="1" applyBorder="1" applyAlignment="1">
      <alignment horizontal="center"/>
    </xf>
    <xf numFmtId="49" fontId="3" fillId="0" borderId="9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3" fontId="6" fillId="0" borderId="3" xfId="0" applyNumberFormat="1" applyFont="1" applyBorder="1"/>
    <xf numFmtId="10" fontId="6" fillId="0" borderId="3" xfId="0" applyNumberFormat="1" applyFont="1" applyBorder="1" applyAlignment="1">
      <alignment horizontal="right"/>
    </xf>
    <xf numFmtId="10" fontId="6" fillId="0" borderId="8" xfId="0" applyNumberFormat="1" applyFont="1" applyBorder="1" applyAlignment="1">
      <alignment horizontal="right"/>
    </xf>
    <xf numFmtId="177" fontId="6" fillId="0" borderId="3" xfId="0" applyNumberFormat="1" applyFont="1" applyBorder="1"/>
    <xf numFmtId="177" fontId="6" fillId="0" borderId="0" xfId="0" applyNumberFormat="1" applyFont="1"/>
    <xf numFmtId="49" fontId="3" fillId="0" borderId="7" xfId="0" applyNumberFormat="1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3" fontId="6" fillId="0" borderId="7" xfId="0" applyNumberFormat="1" applyFont="1" applyBorder="1"/>
    <xf numFmtId="10" fontId="6" fillId="0" borderId="7" xfId="0" applyNumberFormat="1" applyFont="1" applyBorder="1"/>
    <xf numFmtId="10" fontId="6" fillId="0" borderId="4" xfId="0" applyNumberFormat="1" applyFont="1" applyBorder="1"/>
    <xf numFmtId="49" fontId="7" fillId="2" borderId="15" xfId="0" applyNumberFormat="1" applyFont="1" applyFill="1" applyBorder="1" applyAlignment="1">
      <alignment horizontal="center"/>
    </xf>
    <xf numFmtId="49" fontId="7" fillId="2" borderId="13" xfId="0" applyNumberFormat="1" applyFont="1" applyFill="1" applyBorder="1" applyAlignment="1">
      <alignment horizontal="center"/>
    </xf>
    <xf numFmtId="49" fontId="7" fillId="2" borderId="10" xfId="0" applyNumberFormat="1" applyFont="1" applyFill="1" applyBorder="1" applyAlignment="1">
      <alignment horizontal="center"/>
    </xf>
    <xf numFmtId="0" fontId="7" fillId="2" borderId="15" xfId="0" applyFont="1" applyFill="1" applyBorder="1" applyAlignment="1">
      <alignment wrapText="1"/>
    </xf>
    <xf numFmtId="10" fontId="7" fillId="2" borderId="13" xfId="0" applyNumberFormat="1" applyFont="1" applyFill="1" applyBorder="1" applyAlignment="1">
      <alignment horizontal="right"/>
    </xf>
    <xf numFmtId="0" fontId="7" fillId="2" borderId="13" xfId="0" applyFont="1" applyFill="1" applyBorder="1"/>
    <xf numFmtId="0" fontId="7" fillId="2" borderId="0" xfId="0" applyFont="1" applyFill="1"/>
    <xf numFmtId="0" fontId="3" fillId="0" borderId="0" xfId="0" applyFont="1" applyAlignment="1">
      <alignment wrapText="1"/>
    </xf>
    <xf numFmtId="3" fontId="8" fillId="0" borderId="7" xfId="0" applyNumberFormat="1" applyFont="1" applyBorder="1"/>
    <xf numFmtId="10" fontId="2" fillId="0" borderId="9" xfId="0" applyNumberFormat="1" applyFont="1" applyBorder="1"/>
    <xf numFmtId="3" fontId="2" fillId="0" borderId="7" xfId="0" applyNumberFormat="1" applyFont="1" applyBorder="1" applyAlignment="1">
      <alignment horizontal="right"/>
    </xf>
    <xf numFmtId="10" fontId="2" fillId="0" borderId="0" xfId="0" applyNumberFormat="1" applyFont="1"/>
    <xf numFmtId="49" fontId="3" fillId="3" borderId="15" xfId="0" applyNumberFormat="1" applyFont="1" applyFill="1" applyBorder="1" applyAlignment="1">
      <alignment horizontal="center"/>
    </xf>
    <xf numFmtId="49" fontId="7" fillId="3" borderId="13" xfId="0" applyNumberFormat="1" applyFont="1" applyFill="1" applyBorder="1" applyAlignment="1">
      <alignment horizontal="center"/>
    </xf>
    <xf numFmtId="49" fontId="7" fillId="3" borderId="15" xfId="0" applyNumberFormat="1" applyFont="1" applyFill="1" applyBorder="1" applyAlignment="1">
      <alignment horizontal="center"/>
    </xf>
    <xf numFmtId="49" fontId="7" fillId="3" borderId="10" xfId="0" applyNumberFormat="1" applyFont="1" applyFill="1" applyBorder="1" applyAlignment="1">
      <alignment horizontal="center"/>
    </xf>
    <xf numFmtId="0" fontId="7" fillId="3" borderId="15" xfId="0" applyFont="1" applyFill="1" applyBorder="1" applyAlignment="1">
      <alignment wrapText="1"/>
    </xf>
    <xf numFmtId="3" fontId="8" fillId="3" borderId="13" xfId="0" applyNumberFormat="1" applyFont="1" applyFill="1" applyBorder="1"/>
    <xf numFmtId="10" fontId="8" fillId="3" borderId="13" xfId="0" applyNumberFormat="1" applyFont="1" applyFill="1" applyBorder="1" applyAlignment="1">
      <alignment horizontal="right"/>
    </xf>
    <xf numFmtId="3" fontId="8" fillId="3" borderId="13" xfId="0" applyNumberFormat="1" applyFont="1" applyFill="1" applyBorder="1" applyAlignment="1">
      <alignment horizontal="right"/>
    </xf>
    <xf numFmtId="10" fontId="8" fillId="3" borderId="14" xfId="0" applyNumberFormat="1" applyFont="1" applyFill="1" applyBorder="1" applyAlignment="1">
      <alignment horizontal="right"/>
    </xf>
    <xf numFmtId="0" fontId="7" fillId="3" borderId="13" xfId="0" applyFont="1" applyFill="1" applyBorder="1"/>
    <xf numFmtId="0" fontId="7" fillId="3" borderId="0" xfId="0" applyFont="1" applyFill="1"/>
    <xf numFmtId="3" fontId="2" fillId="0" borderId="7" xfId="0" applyNumberFormat="1" applyFont="1" applyBorder="1"/>
    <xf numFmtId="49" fontId="3" fillId="0" borderId="7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horizontal="center" vertical="top"/>
    </xf>
    <xf numFmtId="49" fontId="3" fillId="0" borderId="9" xfId="0" applyNumberFormat="1" applyFont="1" applyBorder="1" applyAlignment="1">
      <alignment horizontal="center" vertical="top"/>
    </xf>
    <xf numFmtId="0" fontId="3" fillId="0" borderId="0" xfId="0" applyFont="1" applyAlignment="1">
      <alignment vertical="top" wrapText="1"/>
    </xf>
    <xf numFmtId="10" fontId="2" fillId="0" borderId="7" xfId="0" applyNumberFormat="1" applyFont="1" applyBorder="1" applyAlignment="1">
      <alignment horizontal="right"/>
    </xf>
    <xf numFmtId="3" fontId="9" fillId="0" borderId="7" xfId="0" applyNumberFormat="1" applyFont="1" applyBorder="1" applyAlignment="1">
      <alignment vertical="center"/>
    </xf>
    <xf numFmtId="3" fontId="9" fillId="0" borderId="0" xfId="0" applyNumberFormat="1" applyFont="1" applyAlignment="1">
      <alignment vertical="center"/>
    </xf>
    <xf numFmtId="3" fontId="10" fillId="0" borderId="0" xfId="0" applyNumberFormat="1" applyFont="1" applyAlignment="1">
      <alignment vertical="center"/>
    </xf>
    <xf numFmtId="3" fontId="2" fillId="0" borderId="0" xfId="0" applyNumberFormat="1" applyFont="1"/>
    <xf numFmtId="10" fontId="2" fillId="0" borderId="4" xfId="0" applyNumberFormat="1" applyFont="1" applyBorder="1"/>
    <xf numFmtId="3" fontId="8" fillId="0" borderId="7" xfId="0" applyNumberFormat="1" applyFont="1" applyBorder="1" applyAlignment="1">
      <alignment horizontal="right"/>
    </xf>
    <xf numFmtId="177" fontId="3" fillId="0" borderId="0" xfId="0" applyNumberFormat="1" applyFont="1" applyAlignment="1">
      <alignment wrapText="1"/>
    </xf>
    <xf numFmtId="10" fontId="8" fillId="3" borderId="15" xfId="0" applyNumberFormat="1" applyFont="1" applyFill="1" applyBorder="1"/>
    <xf numFmtId="10" fontId="2" fillId="0" borderId="0" xfId="0" applyNumberFormat="1" applyFont="1" applyAlignment="1">
      <alignment horizontal="right"/>
    </xf>
    <xf numFmtId="49" fontId="3" fillId="4" borderId="0" xfId="0" applyNumberFormat="1" applyFont="1" applyFill="1" applyAlignment="1">
      <alignment horizontal="center"/>
    </xf>
    <xf numFmtId="49" fontId="3" fillId="4" borderId="7" xfId="0" applyNumberFormat="1" applyFont="1" applyFill="1" applyBorder="1" applyAlignment="1">
      <alignment horizontal="center"/>
    </xf>
    <xf numFmtId="49" fontId="3" fillId="4" borderId="9" xfId="0" applyNumberFormat="1" applyFont="1" applyFill="1" applyBorder="1" applyAlignment="1">
      <alignment horizontal="center"/>
    </xf>
    <xf numFmtId="0" fontId="3" fillId="4" borderId="0" xfId="0" applyFont="1" applyFill="1" applyAlignment="1">
      <alignment wrapText="1"/>
    </xf>
    <xf numFmtId="3" fontId="2" fillId="4" borderId="7" xfId="0" applyNumberFormat="1" applyFont="1" applyFill="1" applyBorder="1" applyAlignment="1">
      <alignment horizontal="right"/>
    </xf>
    <xf numFmtId="10" fontId="2" fillId="4" borderId="7" xfId="0" applyNumberFormat="1" applyFont="1" applyFill="1" applyBorder="1" applyAlignment="1">
      <alignment horizontal="right"/>
    </xf>
    <xf numFmtId="3" fontId="9" fillId="4" borderId="7" xfId="0" applyNumberFormat="1" applyFont="1" applyFill="1" applyBorder="1" applyAlignment="1">
      <alignment vertical="center"/>
    </xf>
    <xf numFmtId="0" fontId="3" fillId="4" borderId="0" xfId="0" applyFont="1" applyFill="1"/>
    <xf numFmtId="49" fontId="3" fillId="5" borderId="0" xfId="0" applyNumberFormat="1" applyFont="1" applyFill="1" applyAlignment="1">
      <alignment horizontal="center"/>
    </xf>
    <xf numFmtId="49" fontId="3" fillId="5" borderId="7" xfId="0" applyNumberFormat="1" applyFont="1" applyFill="1" applyBorder="1" applyAlignment="1">
      <alignment horizontal="center"/>
    </xf>
    <xf numFmtId="49" fontId="3" fillId="5" borderId="9" xfId="0" applyNumberFormat="1" applyFont="1" applyFill="1" applyBorder="1" applyAlignment="1">
      <alignment horizontal="center"/>
    </xf>
    <xf numFmtId="0" fontId="3" fillId="5" borderId="0" xfId="0" applyFont="1" applyFill="1" applyAlignment="1">
      <alignment wrapText="1"/>
    </xf>
    <xf numFmtId="3" fontId="2" fillId="5" borderId="7" xfId="0" applyNumberFormat="1" applyFont="1" applyFill="1" applyBorder="1" applyAlignment="1">
      <alignment horizontal="right"/>
    </xf>
    <xf numFmtId="10" fontId="2" fillId="5" borderId="7" xfId="0" applyNumberFormat="1" applyFont="1" applyFill="1" applyBorder="1" applyAlignment="1">
      <alignment horizontal="right"/>
    </xf>
    <xf numFmtId="3" fontId="9" fillId="5" borderId="7" xfId="0" applyNumberFormat="1" applyFont="1" applyFill="1" applyBorder="1" applyAlignment="1">
      <alignment vertical="center"/>
    </xf>
    <xf numFmtId="0" fontId="3" fillId="5" borderId="0" xfId="0" applyFont="1" applyFill="1"/>
    <xf numFmtId="49" fontId="5" fillId="0" borderId="9" xfId="0" applyNumberFormat="1" applyFont="1" applyBorder="1"/>
    <xf numFmtId="0" fontId="2" fillId="0" borderId="9" xfId="0" applyFont="1" applyBorder="1"/>
    <xf numFmtId="49" fontId="2" fillId="0" borderId="9" xfId="0" applyNumberFormat="1" applyFont="1" applyBorder="1" applyAlignment="1">
      <alignment horizontal="center"/>
    </xf>
    <xf numFmtId="49" fontId="11" fillId="0" borderId="9" xfId="0" applyNumberFormat="1" applyFont="1" applyBorder="1"/>
    <xf numFmtId="0" fontId="2" fillId="0" borderId="9" xfId="0" applyFont="1" applyBorder="1" applyAlignment="1">
      <alignment wrapText="1"/>
    </xf>
    <xf numFmtId="49" fontId="2" fillId="0" borderId="7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wrapText="1"/>
    </xf>
    <xf numFmtId="3" fontId="8" fillId="2" borderId="13" xfId="0" applyNumberFormat="1" applyFont="1" applyFill="1" applyBorder="1" applyAlignment="1">
      <alignment horizontal="right"/>
    </xf>
    <xf numFmtId="10" fontId="8" fillId="2" borderId="14" xfId="0" applyNumberFormat="1" applyFont="1" applyFill="1" applyBorder="1" applyAlignment="1">
      <alignment horizontal="right"/>
    </xf>
    <xf numFmtId="49" fontId="7" fillId="0" borderId="0" xfId="0" applyNumberFormat="1" applyFont="1" applyAlignment="1">
      <alignment horizontal="center"/>
    </xf>
    <xf numFmtId="49" fontId="7" fillId="0" borderId="7" xfId="0" applyNumberFormat="1" applyFont="1" applyBorder="1" applyAlignment="1">
      <alignment horizontal="center"/>
    </xf>
    <xf numFmtId="49" fontId="7" fillId="0" borderId="9" xfId="0" applyNumberFormat="1" applyFont="1" applyBorder="1" applyAlignment="1">
      <alignment horizontal="center"/>
    </xf>
    <xf numFmtId="0" fontId="7" fillId="0" borderId="0" xfId="0" applyFont="1" applyAlignment="1">
      <alignment wrapText="1"/>
    </xf>
    <xf numFmtId="10" fontId="8" fillId="0" borderId="4" xfId="0" applyNumberFormat="1" applyFont="1" applyBorder="1" applyAlignment="1">
      <alignment horizontal="right"/>
    </xf>
    <xf numFmtId="10" fontId="8" fillId="2" borderId="13" xfId="0" applyNumberFormat="1" applyFont="1" applyFill="1" applyBorder="1" applyAlignment="1">
      <alignment horizontal="right"/>
    </xf>
    <xf numFmtId="10" fontId="8" fillId="0" borderId="7" xfId="0" applyNumberFormat="1" applyFont="1" applyBorder="1" applyAlignment="1">
      <alignment horizontal="right"/>
    </xf>
    <xf numFmtId="0" fontId="12" fillId="0" borderId="0" xfId="0" applyFont="1" applyAlignment="1">
      <alignment horizontal="center"/>
    </xf>
    <xf numFmtId="3" fontId="2" fillId="0" borderId="0" xfId="0" applyNumberFormat="1" applyFont="1" applyAlignment="1">
      <alignment horizontal="left"/>
    </xf>
    <xf numFmtId="10" fontId="2" fillId="0" borderId="0" xfId="0" applyNumberFormat="1" applyFont="1" applyAlignment="1">
      <alignment horizontal="left"/>
    </xf>
    <xf numFmtId="0" fontId="2" fillId="0" borderId="9" xfId="0" applyFont="1" applyBorder="1" applyAlignment="1">
      <alignment horizontal="center"/>
    </xf>
    <xf numFmtId="10" fontId="2" fillId="0" borderId="9" xfId="0" applyNumberFormat="1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3" fontId="13" fillId="0" borderId="9" xfId="0" applyNumberFormat="1" applyFont="1" applyBorder="1"/>
    <xf numFmtId="10" fontId="13" fillId="0" borderId="9" xfId="0" applyNumberFormat="1" applyFont="1" applyBorder="1"/>
    <xf numFmtId="10" fontId="13" fillId="0" borderId="9" xfId="0" applyNumberFormat="1" applyFont="1" applyBorder="1" applyAlignment="1">
      <alignment horizontal="right"/>
    </xf>
    <xf numFmtId="3" fontId="13" fillId="0" borderId="9" xfId="0" applyNumberFormat="1" applyFont="1" applyBorder="1" applyAlignment="1">
      <alignment horizontal="right"/>
    </xf>
    <xf numFmtId="0" fontId="14" fillId="0" borderId="4" xfId="0" applyFont="1" applyBorder="1"/>
    <xf numFmtId="177" fontId="13" fillId="0" borderId="9" xfId="0" applyNumberFormat="1" applyFont="1" applyBorder="1"/>
    <xf numFmtId="0" fontId="2" fillId="0" borderId="4" xfId="0" applyFont="1" applyBorder="1"/>
    <xf numFmtId="49" fontId="8" fillId="3" borderId="10" xfId="0" applyNumberFormat="1" applyFont="1" applyFill="1" applyBorder="1" applyAlignment="1">
      <alignment horizontal="center"/>
    </xf>
    <xf numFmtId="0" fontId="8" fillId="3" borderId="10" xfId="0" applyFont="1" applyFill="1" applyBorder="1"/>
    <xf numFmtId="3" fontId="8" fillId="3" borderId="10" xfId="0" applyNumberFormat="1" applyFont="1" applyFill="1" applyBorder="1"/>
    <xf numFmtId="10" fontId="8" fillId="3" borderId="10" xfId="0" applyNumberFormat="1" applyFont="1" applyFill="1" applyBorder="1" applyAlignment="1">
      <alignment horizontal="right"/>
    </xf>
    <xf numFmtId="3" fontId="8" fillId="3" borderId="10" xfId="0" applyNumberFormat="1" applyFont="1" applyFill="1" applyBorder="1" applyAlignment="1">
      <alignment horizontal="right"/>
    </xf>
    <xf numFmtId="0" fontId="2" fillId="3" borderId="10" xfId="0" applyFont="1" applyFill="1" applyBorder="1" applyAlignment="1">
      <alignment wrapText="1"/>
    </xf>
    <xf numFmtId="0" fontId="8" fillId="3" borderId="14" xfId="0" applyFont="1" applyFill="1" applyBorder="1"/>
    <xf numFmtId="3" fontId="2" fillId="0" borderId="9" xfId="0" applyNumberFormat="1" applyFont="1" applyBorder="1"/>
    <xf numFmtId="49" fontId="11" fillId="3" borderId="10" xfId="0" applyNumberFormat="1" applyFont="1" applyFill="1" applyBorder="1"/>
    <xf numFmtId="0" fontId="11" fillId="3" borderId="10" xfId="0" applyFont="1" applyFill="1" applyBorder="1"/>
    <xf numFmtId="0" fontId="11" fillId="3" borderId="14" xfId="0" applyFont="1" applyFill="1" applyBorder="1"/>
    <xf numFmtId="49" fontId="11" fillId="0" borderId="9" xfId="0" applyNumberFormat="1" applyFont="1" applyBorder="1" applyAlignment="1">
      <alignment vertical="top"/>
    </xf>
    <xf numFmtId="49" fontId="2" fillId="0" borderId="9" xfId="0" applyNumberFormat="1" applyFont="1" applyBorder="1" applyAlignment="1">
      <alignment horizontal="center" vertical="top"/>
    </xf>
    <xf numFmtId="0" fontId="2" fillId="0" borderId="9" xfId="0" applyFont="1" applyBorder="1" applyAlignment="1">
      <alignment vertical="top"/>
    </xf>
    <xf numFmtId="3" fontId="2" fillId="0" borderId="9" xfId="0" applyNumberFormat="1" applyFont="1" applyBorder="1" applyAlignment="1">
      <alignment horizontal="right" vertical="top"/>
    </xf>
    <xf numFmtId="10" fontId="2" fillId="0" borderId="9" xfId="0" applyNumberFormat="1" applyFont="1" applyBorder="1" applyAlignment="1">
      <alignment horizontal="right" vertical="top"/>
    </xf>
    <xf numFmtId="10" fontId="2" fillId="0" borderId="9" xfId="0" applyNumberFormat="1" applyFont="1" applyBorder="1" applyAlignment="1">
      <alignment horizontal="right"/>
    </xf>
    <xf numFmtId="176" fontId="2" fillId="0" borderId="9" xfId="0" applyNumberFormat="1" applyFont="1" applyBorder="1" applyAlignment="1">
      <alignment horizontal="right"/>
    </xf>
    <xf numFmtId="0" fontId="11" fillId="0" borderId="9" xfId="0" applyFont="1" applyBorder="1"/>
    <xf numFmtId="0" fontId="11" fillId="0" borderId="4" xfId="0" applyFont="1" applyBorder="1" applyAlignment="1">
      <alignment vertical="top"/>
    </xf>
    <xf numFmtId="3" fontId="2" fillId="0" borderId="9" xfId="0" applyNumberFormat="1" applyFont="1" applyBorder="1" applyAlignment="1">
      <alignment horizontal="right"/>
    </xf>
    <xf numFmtId="49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10" fontId="2" fillId="0" borderId="9" xfId="0" applyNumberFormat="1" applyFont="1" applyBorder="1" applyAlignment="1">
      <alignment horizontal="right" vertical="center"/>
    </xf>
    <xf numFmtId="0" fontId="15" fillId="0" borderId="9" xfId="0" applyFont="1" applyBorder="1" applyAlignment="1">
      <alignment wrapText="1"/>
    </xf>
    <xf numFmtId="0" fontId="2" fillId="0" borderId="4" xfId="0" applyFont="1" applyBorder="1" applyAlignment="1">
      <alignment vertical="center"/>
    </xf>
    <xf numFmtId="3" fontId="2" fillId="0" borderId="9" xfId="0" applyNumberFormat="1" applyFont="1" applyBorder="1" applyAlignment="1">
      <alignment vertical="center"/>
    </xf>
    <xf numFmtId="10" fontId="2" fillId="0" borderId="9" xfId="0" applyNumberFormat="1" applyFont="1" applyBorder="1" applyAlignment="1">
      <alignment vertical="center"/>
    </xf>
    <xf numFmtId="176" fontId="2" fillId="0" borderId="9" xfId="0" applyNumberFormat="1" applyFont="1" applyBorder="1" applyAlignment="1">
      <alignment horizontal="right" vertical="center"/>
    </xf>
    <xf numFmtId="0" fontId="11" fillId="0" borderId="4" xfId="0" applyFont="1" applyBorder="1"/>
    <xf numFmtId="3" fontId="2" fillId="0" borderId="9" xfId="0" applyNumberFormat="1" applyFont="1" applyBorder="1" applyAlignment="1">
      <alignment vertical="top"/>
    </xf>
    <xf numFmtId="10" fontId="2" fillId="0" borderId="9" xfId="0" applyNumberFormat="1" applyFont="1" applyBorder="1" applyAlignment="1">
      <alignment vertical="top"/>
    </xf>
    <xf numFmtId="10" fontId="11" fillId="0" borderId="9" xfId="0" applyNumberFormat="1" applyFont="1" applyBorder="1"/>
    <xf numFmtId="176" fontId="11" fillId="0" borderId="9" xfId="0" applyNumberFormat="1" applyFont="1" applyBorder="1"/>
    <xf numFmtId="49" fontId="11" fillId="5" borderId="9" xfId="0" applyNumberFormat="1" applyFont="1" applyFill="1" applyBorder="1"/>
    <xf numFmtId="49" fontId="2" fillId="5" borderId="9" xfId="0" applyNumberFormat="1" applyFont="1" applyFill="1" applyBorder="1" applyAlignment="1">
      <alignment horizontal="center"/>
    </xf>
    <xf numFmtId="0" fontId="2" fillId="5" borderId="9" xfId="0" applyFont="1" applyFill="1" applyBorder="1"/>
    <xf numFmtId="3" fontId="2" fillId="5" borderId="9" xfId="0" applyNumberFormat="1" applyFont="1" applyFill="1" applyBorder="1" applyAlignment="1">
      <alignment horizontal="right"/>
    </xf>
    <xf numFmtId="10" fontId="2" fillId="5" borderId="9" xfId="0" applyNumberFormat="1" applyFont="1" applyFill="1" applyBorder="1" applyAlignment="1">
      <alignment horizontal="right"/>
    </xf>
    <xf numFmtId="0" fontId="11" fillId="5" borderId="9" xfId="0" applyFont="1" applyFill="1" applyBorder="1"/>
    <xf numFmtId="0" fontId="11" fillId="5" borderId="4" xfId="0" applyFont="1" applyFill="1" applyBorder="1"/>
    <xf numFmtId="0" fontId="16" fillId="0" borderId="9" xfId="0" applyFont="1" applyBorder="1"/>
    <xf numFmtId="0" fontId="16" fillId="5" borderId="9" xfId="0" applyFont="1" applyFill="1" applyBorder="1"/>
    <xf numFmtId="0" fontId="16" fillId="0" borderId="9" xfId="0" applyFont="1" applyBorder="1" applyAlignment="1">
      <alignment wrapText="1"/>
    </xf>
    <xf numFmtId="0" fontId="16" fillId="5" borderId="9" xfId="0" applyFont="1" applyFill="1" applyBorder="1" applyAlignment="1">
      <alignment wrapText="1"/>
    </xf>
    <xf numFmtId="0" fontId="3" fillId="0" borderId="9" xfId="0" applyFont="1" applyBorder="1" applyAlignment="1">
      <alignment vertical="top"/>
    </xf>
    <xf numFmtId="0" fontId="8" fillId="0" borderId="9" xfId="0" applyFont="1" applyBorder="1"/>
    <xf numFmtId="3" fontId="2" fillId="6" borderId="9" xfId="0" applyNumberFormat="1" applyFont="1" applyFill="1" applyBorder="1" applyAlignment="1">
      <alignment horizontal="right"/>
    </xf>
    <xf numFmtId="10" fontId="17" fillId="0" borderId="9" xfId="0" applyNumberFormat="1" applyFont="1" applyBorder="1"/>
    <xf numFmtId="176" fontId="17" fillId="0" borderId="9" xfId="0" applyNumberFormat="1" applyFont="1" applyBorder="1"/>
    <xf numFmtId="49" fontId="2" fillId="4" borderId="9" xfId="0" applyNumberFormat="1" applyFont="1" applyFill="1" applyBorder="1" applyAlignment="1">
      <alignment horizontal="center"/>
    </xf>
    <xf numFmtId="49" fontId="11" fillId="4" borderId="9" xfId="0" applyNumberFormat="1" applyFont="1" applyFill="1" applyBorder="1"/>
    <xf numFmtId="0" fontId="2" fillId="4" borderId="9" xfId="0" applyFont="1" applyFill="1" applyBorder="1"/>
    <xf numFmtId="3" fontId="2" fillId="4" borderId="9" xfId="0" applyNumberFormat="1" applyFont="1" applyFill="1" applyBorder="1" applyAlignment="1">
      <alignment horizontal="right"/>
    </xf>
    <xf numFmtId="10" fontId="2" fillId="4" borderId="9" xfId="0" applyNumberFormat="1" applyFont="1" applyFill="1" applyBorder="1" applyAlignment="1">
      <alignment horizontal="right"/>
    </xf>
    <xf numFmtId="0" fontId="2" fillId="4" borderId="4" xfId="0" applyFont="1" applyFill="1" applyBorder="1"/>
    <xf numFmtId="49" fontId="8" fillId="0" borderId="9" xfId="0" applyNumberFormat="1" applyFont="1" applyBorder="1" applyAlignment="1">
      <alignment horizontal="center"/>
    </xf>
    <xf numFmtId="3" fontId="8" fillId="0" borderId="9" xfId="0" applyNumberFormat="1" applyFont="1" applyBorder="1" applyAlignment="1">
      <alignment horizontal="right"/>
    </xf>
    <xf numFmtId="10" fontId="8" fillId="0" borderId="9" xfId="0" applyNumberFormat="1" applyFont="1" applyBorder="1" applyAlignment="1">
      <alignment horizontal="right"/>
    </xf>
    <xf numFmtId="176" fontId="8" fillId="0" borderId="9" xfId="0" applyNumberFormat="1" applyFont="1" applyBorder="1" applyAlignment="1">
      <alignment horizontal="right"/>
    </xf>
    <xf numFmtId="49" fontId="18" fillId="0" borderId="9" xfId="0" applyNumberFormat="1" applyFont="1" applyBorder="1"/>
    <xf numFmtId="0" fontId="2" fillId="0" borderId="9" xfId="0" applyFont="1" applyBorder="1" applyAlignment="1">
      <alignment horizontal="right"/>
    </xf>
    <xf numFmtId="0" fontId="19" fillId="0" borderId="0" xfId="0" applyFont="1" applyAlignment="1">
      <alignment horizontal="center"/>
    </xf>
    <xf numFmtId="3" fontId="2" fillId="0" borderId="4" xfId="0" applyNumberFormat="1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/>
    </xf>
    <xf numFmtId="3" fontId="8" fillId="0" borderId="18" xfId="0" applyNumberFormat="1" applyFont="1" applyBorder="1" applyAlignment="1">
      <alignment horizontal="center"/>
    </xf>
    <xf numFmtId="10" fontId="8" fillId="0" borderId="18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0" fontId="2" fillId="0" borderId="3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49" fontId="2" fillId="0" borderId="4" xfId="0" applyNumberFormat="1" applyFont="1" applyBorder="1" applyAlignment="1">
      <alignment horizontal="center"/>
    </xf>
    <xf numFmtId="49" fontId="2" fillId="0" borderId="16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8" fillId="0" borderId="17" xfId="0" applyNumberFormat="1" applyFont="1" applyBorder="1" applyAlignment="1">
      <alignment horizontal="center"/>
    </xf>
    <xf numFmtId="10" fontId="8" fillId="0" borderId="16" xfId="0" applyNumberFormat="1" applyFont="1" applyBorder="1" applyAlignment="1">
      <alignment horizontal="center"/>
    </xf>
    <xf numFmtId="10" fontId="2" fillId="0" borderId="7" xfId="0" applyNumberFormat="1" applyFont="1" applyBorder="1" applyAlignment="1">
      <alignment horizontal="center"/>
    </xf>
    <xf numFmtId="3" fontId="2" fillId="0" borderId="7" xfId="0" applyNumberFormat="1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3" fontId="8" fillId="0" borderId="3" xfId="0" applyNumberFormat="1" applyFont="1" applyBorder="1" applyAlignment="1">
      <alignment horizontal="right"/>
    </xf>
    <xf numFmtId="10" fontId="8" fillId="0" borderId="3" xfId="0" applyNumberFormat="1" applyFont="1" applyBorder="1" applyAlignment="1">
      <alignment horizontal="right"/>
    </xf>
    <xf numFmtId="177" fontId="8" fillId="0" borderId="3" xfId="0" applyNumberFormat="1" applyFont="1" applyBorder="1"/>
    <xf numFmtId="0" fontId="2" fillId="0" borderId="3" xfId="0" applyFont="1" applyBorder="1"/>
    <xf numFmtId="0" fontId="14" fillId="0" borderId="8" xfId="0" applyFont="1" applyBorder="1"/>
    <xf numFmtId="0" fontId="14" fillId="0" borderId="0" xfId="0" applyFont="1"/>
    <xf numFmtId="0" fontId="8" fillId="0" borderId="7" xfId="0" applyFont="1" applyBorder="1" applyAlignment="1">
      <alignment horizontal="center"/>
    </xf>
    <xf numFmtId="177" fontId="8" fillId="0" borderId="7" xfId="0" applyNumberFormat="1" applyFont="1" applyBorder="1"/>
    <xf numFmtId="10" fontId="8" fillId="0" borderId="7" xfId="0" applyNumberFormat="1" applyFont="1" applyBorder="1"/>
    <xf numFmtId="0" fontId="2" fillId="0" borderId="7" xfId="0" applyFont="1" applyBorder="1"/>
    <xf numFmtId="49" fontId="8" fillId="7" borderId="15" xfId="0" applyNumberFormat="1" applyFont="1" applyFill="1" applyBorder="1" applyAlignment="1">
      <alignment horizontal="center"/>
    </xf>
    <xf numFmtId="49" fontId="8" fillId="7" borderId="13" xfId="0" applyNumberFormat="1" applyFont="1" applyFill="1" applyBorder="1" applyAlignment="1">
      <alignment horizontal="center"/>
    </xf>
    <xf numFmtId="49" fontId="8" fillId="7" borderId="10" xfId="0" applyNumberFormat="1" applyFont="1" applyFill="1" applyBorder="1" applyAlignment="1">
      <alignment horizontal="center"/>
    </xf>
    <xf numFmtId="0" fontId="8" fillId="7" borderId="13" xfId="0" applyFont="1" applyFill="1" applyBorder="1"/>
    <xf numFmtId="3" fontId="8" fillId="7" borderId="13" xfId="0" applyNumberFormat="1" applyFont="1" applyFill="1" applyBorder="1"/>
    <xf numFmtId="10" fontId="8" fillId="7" borderId="13" xfId="0" applyNumberFormat="1" applyFont="1" applyFill="1" applyBorder="1" applyAlignment="1">
      <alignment horizontal="right"/>
    </xf>
    <xf numFmtId="177" fontId="8" fillId="7" borderId="13" xfId="0" applyNumberFormat="1" applyFont="1" applyFill="1" applyBorder="1"/>
    <xf numFmtId="0" fontId="2" fillId="7" borderId="13" xfId="0" applyFont="1" applyFill="1" applyBorder="1"/>
    <xf numFmtId="0" fontId="8" fillId="7" borderId="14" xfId="0" applyFont="1" applyFill="1" applyBorder="1"/>
    <xf numFmtId="0" fontId="8" fillId="7" borderId="0" xfId="0" applyFont="1" applyFill="1"/>
    <xf numFmtId="177" fontId="2" fillId="0" borderId="7" xfId="0" applyNumberFormat="1" applyFont="1" applyBorder="1"/>
    <xf numFmtId="10" fontId="2" fillId="0" borderId="7" xfId="0" applyNumberFormat="1" applyFont="1" applyBorder="1"/>
    <xf numFmtId="49" fontId="8" fillId="8" borderId="15" xfId="0" applyNumberFormat="1" applyFont="1" applyFill="1" applyBorder="1" applyAlignment="1">
      <alignment horizontal="center"/>
    </xf>
    <xf numFmtId="49" fontId="8" fillId="8" borderId="13" xfId="0" applyNumberFormat="1" applyFont="1" applyFill="1" applyBorder="1" applyAlignment="1">
      <alignment horizontal="center"/>
    </xf>
    <xf numFmtId="49" fontId="8" fillId="8" borderId="10" xfId="0" applyNumberFormat="1" applyFont="1" applyFill="1" applyBorder="1" applyAlignment="1">
      <alignment horizontal="center"/>
    </xf>
    <xf numFmtId="0" fontId="8" fillId="8" borderId="13" xfId="0" applyFont="1" applyFill="1" applyBorder="1"/>
    <xf numFmtId="3" fontId="8" fillId="8" borderId="13" xfId="0" applyNumberFormat="1" applyFont="1" applyFill="1" applyBorder="1"/>
    <xf numFmtId="10" fontId="8" fillId="8" borderId="13" xfId="0" applyNumberFormat="1" applyFont="1" applyFill="1" applyBorder="1" applyAlignment="1">
      <alignment horizontal="right"/>
    </xf>
    <xf numFmtId="177" fontId="8" fillId="8" borderId="13" xfId="0" applyNumberFormat="1" applyFont="1" applyFill="1" applyBorder="1"/>
    <xf numFmtId="0" fontId="8" fillId="8" borderId="14" xfId="0" applyFont="1" applyFill="1" applyBorder="1"/>
    <xf numFmtId="0" fontId="8" fillId="8" borderId="0" xfId="0" applyFont="1" applyFill="1"/>
    <xf numFmtId="49" fontId="2" fillId="0" borderId="0" xfId="0" applyNumberFormat="1" applyFont="1" applyAlignment="1">
      <alignment horizontal="center" vertical="top"/>
    </xf>
    <xf numFmtId="49" fontId="18" fillId="3" borderId="13" xfId="0" applyNumberFormat="1" applyFont="1" applyFill="1" applyBorder="1" applyAlignment="1">
      <alignment vertical="top"/>
    </xf>
    <xf numFmtId="49" fontId="2" fillId="3" borderId="13" xfId="0" applyNumberFormat="1" applyFont="1" applyFill="1" applyBorder="1" applyAlignment="1">
      <alignment horizontal="center" vertical="top"/>
    </xf>
    <xf numFmtId="49" fontId="18" fillId="3" borderId="10" xfId="0" applyNumberFormat="1" applyFont="1" applyFill="1" applyBorder="1" applyAlignment="1">
      <alignment vertical="top"/>
    </xf>
    <xf numFmtId="0" fontId="2" fillId="3" borderId="13" xfId="0" applyFont="1" applyFill="1" applyBorder="1" applyAlignment="1">
      <alignment vertical="top"/>
    </xf>
    <xf numFmtId="3" fontId="2" fillId="3" borderId="13" xfId="0" applyNumberFormat="1" applyFont="1" applyFill="1" applyBorder="1" applyAlignment="1">
      <alignment vertical="top"/>
    </xf>
    <xf numFmtId="10" fontId="2" fillId="3" borderId="13" xfId="0" applyNumberFormat="1" applyFont="1" applyFill="1" applyBorder="1" applyAlignment="1">
      <alignment horizontal="right" vertical="top"/>
    </xf>
    <xf numFmtId="10" fontId="2" fillId="3" borderId="13" xfId="0" applyNumberFormat="1" applyFont="1" applyFill="1" applyBorder="1" applyAlignment="1">
      <alignment horizontal="right"/>
    </xf>
    <xf numFmtId="0" fontId="2" fillId="3" borderId="13" xfId="0" applyFont="1" applyFill="1" applyBorder="1"/>
    <xf numFmtId="0" fontId="2" fillId="3" borderId="14" xfId="0" applyFont="1" applyFill="1" applyBorder="1" applyAlignment="1">
      <alignment vertical="top"/>
    </xf>
    <xf numFmtId="0" fontId="2" fillId="3" borderId="0" xfId="0" applyFont="1" applyFill="1" applyAlignment="1">
      <alignment vertical="top"/>
    </xf>
    <xf numFmtId="49" fontId="18" fillId="0" borderId="7" xfId="0" applyNumberFormat="1" applyFont="1" applyBorder="1"/>
    <xf numFmtId="0" fontId="2" fillId="0" borderId="7" xfId="0" applyFont="1" applyBorder="1" applyAlignment="1">
      <alignment vertical="top"/>
    </xf>
    <xf numFmtId="3" fontId="2" fillId="0" borderId="7" xfId="0" applyNumberFormat="1" applyFont="1" applyBorder="1" applyAlignment="1">
      <alignment vertical="top"/>
    </xf>
    <xf numFmtId="10" fontId="2" fillId="0" borderId="7" xfId="0" applyNumberFormat="1" applyFont="1" applyBorder="1" applyAlignment="1">
      <alignment horizontal="right" vertical="top"/>
    </xf>
    <xf numFmtId="3" fontId="20" fillId="0" borderId="7" xfId="0" applyNumberFormat="1" applyFont="1" applyBorder="1" applyAlignment="1">
      <alignment horizontal="right"/>
    </xf>
    <xf numFmtId="10" fontId="20" fillId="0" borderId="7" xfId="0" applyNumberFormat="1" applyFont="1" applyBorder="1" applyAlignment="1">
      <alignment horizontal="right"/>
    </xf>
    <xf numFmtId="0" fontId="20" fillId="0" borderId="7" xfId="0" applyFont="1" applyBorder="1" applyAlignment="1">
      <alignment wrapText="1"/>
    </xf>
    <xf numFmtId="0" fontId="18" fillId="0" borderId="0" xfId="0" applyFont="1"/>
    <xf numFmtId="3" fontId="21" fillId="0" borderId="7" xfId="0" applyNumberFormat="1" applyFont="1" applyBorder="1"/>
    <xf numFmtId="0" fontId="18" fillId="0" borderId="7" xfId="0" applyFont="1" applyBorder="1" applyAlignment="1">
      <alignment vertical="top"/>
    </xf>
    <xf numFmtId="0" fontId="18" fillId="0" borderId="4" xfId="0" applyFont="1" applyBorder="1"/>
    <xf numFmtId="3" fontId="20" fillId="0" borderId="4" xfId="0" applyNumberFormat="1" applyFont="1" applyBorder="1" applyAlignment="1">
      <alignment horizontal="right"/>
    </xf>
    <xf numFmtId="0" fontId="20" fillId="0" borderId="9" xfId="0" applyFont="1" applyBorder="1" applyAlignment="1">
      <alignment wrapText="1"/>
    </xf>
    <xf numFmtId="0" fontId="2" fillId="0" borderId="7" xfId="0" applyFont="1" applyBorder="1" applyAlignment="1">
      <alignment wrapText="1"/>
    </xf>
    <xf numFmtId="177" fontId="18" fillId="0" borderId="7" xfId="0" applyNumberFormat="1" applyFont="1" applyBorder="1" applyAlignment="1">
      <alignment vertical="top"/>
    </xf>
    <xf numFmtId="177" fontId="2" fillId="3" borderId="13" xfId="0" applyNumberFormat="1" applyFont="1" applyFill="1" applyBorder="1" applyAlignment="1">
      <alignment horizontal="right" vertical="top"/>
    </xf>
    <xf numFmtId="3" fontId="2" fillId="3" borderId="13" xfId="0" applyNumberFormat="1" applyFont="1" applyFill="1" applyBorder="1" applyAlignment="1">
      <alignment horizontal="right"/>
    </xf>
    <xf numFmtId="3" fontId="18" fillId="0" borderId="7" xfId="0" applyNumberFormat="1" applyFont="1" applyBorder="1"/>
    <xf numFmtId="49" fontId="18" fillId="3" borderId="13" xfId="0" applyNumberFormat="1" applyFont="1" applyFill="1" applyBorder="1"/>
    <xf numFmtId="49" fontId="2" fillId="3" borderId="13" xfId="0" applyNumberFormat="1" applyFont="1" applyFill="1" applyBorder="1" applyAlignment="1">
      <alignment horizontal="center"/>
    </xf>
    <xf numFmtId="49" fontId="18" fillId="3" borderId="10" xfId="0" applyNumberFormat="1" applyFont="1" applyFill="1" applyBorder="1"/>
    <xf numFmtId="3" fontId="2" fillId="3" borderId="13" xfId="0" applyNumberFormat="1" applyFont="1" applyFill="1" applyBorder="1" applyAlignment="1">
      <alignment horizontal="right" vertical="top"/>
    </xf>
    <xf numFmtId="10" fontId="2" fillId="3" borderId="7" xfId="0" applyNumberFormat="1" applyFont="1" applyFill="1" applyBorder="1" applyAlignment="1">
      <alignment horizontal="right"/>
    </xf>
    <xf numFmtId="0" fontId="2" fillId="2" borderId="13" xfId="0" applyFont="1" applyFill="1" applyBorder="1"/>
    <xf numFmtId="0" fontId="2" fillId="3" borderId="14" xfId="0" applyFont="1" applyFill="1" applyBorder="1"/>
    <xf numFmtId="0" fontId="2" fillId="3" borderId="0" xfId="0" applyFont="1" applyFill="1"/>
    <xf numFmtId="177" fontId="2" fillId="0" borderId="7" xfId="0" applyNumberFormat="1" applyFont="1" applyBorder="1" applyAlignment="1">
      <alignment vertical="top"/>
    </xf>
    <xf numFmtId="49" fontId="8" fillId="0" borderId="0" xfId="0" applyNumberFormat="1" applyFont="1" applyAlignment="1">
      <alignment horizontal="center"/>
    </xf>
    <xf numFmtId="49" fontId="8" fillId="0" borderId="7" xfId="0" applyNumberFormat="1" applyFont="1" applyBorder="1" applyAlignment="1">
      <alignment horizontal="center"/>
    </xf>
    <xf numFmtId="0" fontId="8" fillId="0" borderId="7" xfId="0" applyFont="1" applyBorder="1"/>
    <xf numFmtId="0" fontId="8" fillId="0" borderId="7" xfId="0" applyFont="1" applyBorder="1" applyAlignment="1">
      <alignment horizontal="right"/>
    </xf>
    <xf numFmtId="0" fontId="8" fillId="0" borderId="4" xfId="0" applyFont="1" applyBorder="1"/>
    <xf numFmtId="0" fontId="8" fillId="0" borderId="0" xfId="0" applyFont="1"/>
    <xf numFmtId="177" fontId="8" fillId="8" borderId="13" xfId="0" applyNumberFormat="1" applyFont="1" applyFill="1" applyBorder="1" applyAlignment="1">
      <alignment horizontal="right"/>
    </xf>
    <xf numFmtId="3" fontId="8" fillId="8" borderId="13" xfId="0" applyNumberFormat="1" applyFont="1" applyFill="1" applyBorder="1" applyAlignment="1">
      <alignment horizontal="right"/>
    </xf>
    <xf numFmtId="177" fontId="2" fillId="3" borderId="13" xfId="0" applyNumberFormat="1" applyFont="1" applyFill="1" applyBorder="1" applyAlignment="1">
      <alignment horizontal="right"/>
    </xf>
    <xf numFmtId="3" fontId="2" fillId="3" borderId="13" xfId="0" applyNumberFormat="1" applyFont="1" applyFill="1" applyBorder="1"/>
    <xf numFmtId="0" fontId="2" fillId="2" borderId="13" xfId="0" applyFont="1" applyFill="1" applyBorder="1" applyAlignment="1">
      <alignment wrapText="1"/>
    </xf>
    <xf numFmtId="177" fontId="2" fillId="0" borderId="7" xfId="0" applyNumberFormat="1" applyFont="1" applyBorder="1" applyAlignment="1">
      <alignment horizontal="right"/>
    </xf>
    <xf numFmtId="49" fontId="22" fillId="0" borderId="9" xfId="0" applyNumberFormat="1" applyFont="1" applyBorder="1" applyAlignment="1">
      <alignment horizontal="center"/>
    </xf>
    <xf numFmtId="0" fontId="22" fillId="0" borderId="7" xfId="0" applyFont="1" applyBorder="1" applyAlignment="1">
      <alignment vertical="top"/>
    </xf>
    <xf numFmtId="10" fontId="22" fillId="0" borderId="7" xfId="0" applyNumberFormat="1" applyFont="1" applyBorder="1" applyAlignment="1">
      <alignment horizontal="right" vertical="top"/>
    </xf>
    <xf numFmtId="177" fontId="22" fillId="0" borderId="7" xfId="0" applyNumberFormat="1" applyFont="1" applyBorder="1" applyAlignment="1">
      <alignment horizontal="right" vertical="top"/>
    </xf>
    <xf numFmtId="10" fontId="23" fillId="0" borderId="7" xfId="0" applyNumberFormat="1" applyFont="1" applyBorder="1"/>
    <xf numFmtId="3" fontId="23" fillId="0" borderId="7" xfId="0" applyNumberFormat="1" applyFont="1" applyBorder="1"/>
    <xf numFmtId="0" fontId="20" fillId="0" borderId="7" xfId="0" applyFont="1" applyBorder="1"/>
    <xf numFmtId="0" fontId="22" fillId="0" borderId="7" xfId="0" applyFont="1" applyBorder="1"/>
    <xf numFmtId="10" fontId="22" fillId="0" borderId="7" xfId="0" applyNumberFormat="1" applyFont="1" applyBorder="1" applyAlignment="1">
      <alignment horizontal="right"/>
    </xf>
    <xf numFmtId="177" fontId="22" fillId="0" borderId="7" xfId="0" applyNumberFormat="1" applyFont="1" applyBorder="1" applyAlignment="1">
      <alignment horizontal="right"/>
    </xf>
    <xf numFmtId="0" fontId="14" fillId="3" borderId="14" xfId="0" applyFont="1" applyFill="1" applyBorder="1"/>
    <xf numFmtId="0" fontId="14" fillId="3" borderId="0" xfId="0" applyFont="1" applyFill="1"/>
    <xf numFmtId="177" fontId="20" fillId="0" borderId="7" xfId="0" applyNumberFormat="1" applyFont="1" applyBorder="1" applyAlignment="1">
      <alignment horizontal="right"/>
    </xf>
    <xf numFmtId="0" fontId="18" fillId="0" borderId="7" xfId="0" applyFont="1" applyBorder="1"/>
    <xf numFmtId="177" fontId="21" fillId="0" borderId="7" xfId="0" applyNumberFormat="1" applyFont="1" applyBorder="1"/>
    <xf numFmtId="49" fontId="2" fillId="9" borderId="0" xfId="0" applyNumberFormat="1" applyFont="1" applyFill="1" applyAlignment="1">
      <alignment horizontal="center"/>
    </xf>
    <xf numFmtId="49" fontId="18" fillId="9" borderId="13" xfId="0" applyNumberFormat="1" applyFont="1" applyFill="1" applyBorder="1"/>
    <xf numFmtId="49" fontId="2" fillId="9" borderId="13" xfId="0" applyNumberFormat="1" applyFont="1" applyFill="1" applyBorder="1" applyAlignment="1">
      <alignment horizontal="center"/>
    </xf>
    <xf numFmtId="49" fontId="18" fillId="9" borderId="10" xfId="0" applyNumberFormat="1" applyFont="1" applyFill="1" applyBorder="1"/>
    <xf numFmtId="0" fontId="2" fillId="9" borderId="13" xfId="0" applyFont="1" applyFill="1" applyBorder="1"/>
    <xf numFmtId="10" fontId="2" fillId="9" borderId="13" xfId="0" applyNumberFormat="1" applyFont="1" applyFill="1" applyBorder="1" applyAlignment="1">
      <alignment horizontal="right"/>
    </xf>
    <xf numFmtId="177" fontId="2" fillId="9" borderId="13" xfId="0" applyNumberFormat="1" applyFont="1" applyFill="1" applyBorder="1" applyAlignment="1">
      <alignment horizontal="right"/>
    </xf>
    <xf numFmtId="3" fontId="2" fillId="9" borderId="13" xfId="0" applyNumberFormat="1" applyFont="1" applyFill="1" applyBorder="1" applyAlignment="1">
      <alignment horizontal="right"/>
    </xf>
    <xf numFmtId="10" fontId="2" fillId="9" borderId="7" xfId="0" applyNumberFormat="1" applyFont="1" applyFill="1" applyBorder="1" applyAlignment="1">
      <alignment horizontal="right"/>
    </xf>
    <xf numFmtId="0" fontId="2" fillId="9" borderId="14" xfId="0" applyFont="1" applyFill="1" applyBorder="1"/>
    <xf numFmtId="0" fontId="2" fillId="9" borderId="0" xfId="0" applyFont="1" applyFill="1"/>
    <xf numFmtId="10" fontId="8" fillId="8" borderId="19" xfId="0" applyNumberFormat="1" applyFont="1" applyFill="1" applyBorder="1" applyAlignment="1">
      <alignment horizontal="right"/>
    </xf>
    <xf numFmtId="3" fontId="2" fillId="9" borderId="7" xfId="0" applyNumberFormat="1" applyFont="1" applyFill="1" applyBorder="1" applyAlignment="1">
      <alignment vertical="top"/>
    </xf>
    <xf numFmtId="10" fontId="2" fillId="9" borderId="7" xfId="0" applyNumberFormat="1" applyFont="1" applyFill="1" applyBorder="1" applyAlignment="1">
      <alignment horizontal="right" vertical="top"/>
    </xf>
    <xf numFmtId="3" fontId="2" fillId="9" borderId="7" xfId="0" applyNumberFormat="1" applyFont="1" applyFill="1" applyBorder="1" applyAlignment="1">
      <alignment horizontal="right"/>
    </xf>
    <xf numFmtId="0" fontId="2" fillId="9" borderId="7" xfId="0" applyFont="1" applyFill="1" applyBorder="1" applyAlignment="1">
      <alignment horizontal="left"/>
    </xf>
    <xf numFmtId="0" fontId="14" fillId="9" borderId="4" xfId="0" applyFont="1" applyFill="1" applyBorder="1" applyAlignment="1">
      <alignment horizontal="left"/>
    </xf>
    <xf numFmtId="0" fontId="14" fillId="9" borderId="0" xfId="0" applyFont="1" applyFill="1" applyAlignment="1">
      <alignment horizontal="left"/>
    </xf>
    <xf numFmtId="10" fontId="2" fillId="0" borderId="4" xfId="0" applyNumberFormat="1" applyFont="1" applyBorder="1" applyAlignment="1">
      <alignment horizontal="right"/>
    </xf>
    <xf numFmtId="0" fontId="2" fillId="0" borderId="7" xfId="0" applyFont="1" applyBorder="1" applyAlignment="1">
      <alignment horizontal="left"/>
    </xf>
    <xf numFmtId="0" fontId="14" fillId="0" borderId="4" xfId="0" applyFont="1" applyBorder="1" applyAlignment="1">
      <alignment horizontal="left"/>
    </xf>
    <xf numFmtId="0" fontId="14" fillId="0" borderId="0" xfId="0" applyFont="1" applyAlignment="1">
      <alignment horizontal="left"/>
    </xf>
    <xf numFmtId="10" fontId="2" fillId="9" borderId="4" xfId="0" applyNumberFormat="1" applyFont="1" applyFill="1" applyBorder="1" applyAlignment="1">
      <alignment horizontal="right"/>
    </xf>
    <xf numFmtId="3" fontId="2" fillId="9" borderId="4" xfId="0" applyNumberFormat="1" applyFont="1" applyFill="1" applyBorder="1" applyAlignment="1">
      <alignment horizontal="right"/>
    </xf>
    <xf numFmtId="0" fontId="20" fillId="9" borderId="4" xfId="0" applyFont="1" applyFill="1" applyBorder="1" applyAlignment="1">
      <alignment horizontal="left"/>
    </xf>
    <xf numFmtId="0" fontId="20" fillId="9" borderId="0" xfId="0" applyFont="1" applyFill="1" applyAlignment="1">
      <alignment horizontal="left"/>
    </xf>
    <xf numFmtId="3" fontId="2" fillId="0" borderId="4" xfId="0" applyNumberFormat="1" applyFont="1" applyBorder="1" applyAlignment="1">
      <alignment horizontal="right"/>
    </xf>
    <xf numFmtId="3" fontId="2" fillId="9" borderId="7" xfId="0" applyNumberFormat="1" applyFont="1" applyFill="1" applyBorder="1"/>
    <xf numFmtId="177" fontId="2" fillId="9" borderId="7" xfId="0" applyNumberFormat="1" applyFont="1" applyFill="1" applyBorder="1" applyAlignment="1">
      <alignment horizontal="right"/>
    </xf>
    <xf numFmtId="10" fontId="2" fillId="9" borderId="4" xfId="0" applyNumberFormat="1" applyFont="1" applyFill="1" applyBorder="1"/>
    <xf numFmtId="0" fontId="2" fillId="3" borderId="13" xfId="0" applyFont="1" applyFill="1" applyBorder="1" applyAlignment="1">
      <alignment wrapText="1"/>
    </xf>
    <xf numFmtId="0" fontId="2" fillId="9" borderId="4" xfId="0" applyFont="1" applyFill="1" applyBorder="1"/>
    <xf numFmtId="10" fontId="8" fillId="8" borderId="13" xfId="0" applyNumberFormat="1" applyFont="1" applyFill="1" applyBorder="1"/>
    <xf numFmtId="3" fontId="2" fillId="0" borderId="4" xfId="0" applyNumberFormat="1" applyFont="1" applyBorder="1"/>
    <xf numFmtId="49" fontId="2" fillId="3" borderId="10" xfId="0" applyNumberFormat="1" applyFont="1" applyFill="1" applyBorder="1" applyAlignment="1">
      <alignment horizontal="center"/>
    </xf>
    <xf numFmtId="3" fontId="20" fillId="3" borderId="13" xfId="0" applyNumberFormat="1" applyFont="1" applyFill="1" applyBorder="1"/>
    <xf numFmtId="49" fontId="2" fillId="6" borderId="20" xfId="0" applyNumberFormat="1" applyFont="1" applyFill="1" applyBorder="1" applyAlignment="1">
      <alignment horizontal="center"/>
    </xf>
    <xf numFmtId="49" fontId="2" fillId="6" borderId="21" xfId="0" applyNumberFormat="1" applyFont="1" applyFill="1" applyBorder="1" applyAlignment="1">
      <alignment horizontal="center"/>
    </xf>
    <xf numFmtId="49" fontId="2" fillId="6" borderId="22" xfId="0" applyNumberFormat="1" applyFont="1" applyFill="1" applyBorder="1" applyAlignment="1">
      <alignment horizontal="center"/>
    </xf>
    <xf numFmtId="0" fontId="2" fillId="6" borderId="21" xfId="0" applyFont="1" applyFill="1" applyBorder="1"/>
    <xf numFmtId="3" fontId="2" fillId="6" borderId="21" xfId="0" applyNumberFormat="1" applyFont="1" applyFill="1" applyBorder="1"/>
    <xf numFmtId="10" fontId="2" fillId="6" borderId="21" xfId="0" applyNumberFormat="1" applyFont="1" applyFill="1" applyBorder="1" applyAlignment="1">
      <alignment horizontal="right"/>
    </xf>
    <xf numFmtId="3" fontId="20" fillId="6" borderId="21" xfId="0" applyNumberFormat="1" applyFont="1" applyFill="1" applyBorder="1"/>
    <xf numFmtId="49" fontId="2" fillId="5" borderId="15" xfId="0" applyNumberFormat="1" applyFont="1" applyFill="1" applyBorder="1" applyAlignment="1">
      <alignment horizontal="center"/>
    </xf>
    <xf numFmtId="49" fontId="2" fillId="5" borderId="13" xfId="0" applyNumberFormat="1" applyFont="1" applyFill="1" applyBorder="1" applyAlignment="1">
      <alignment horizontal="center"/>
    </xf>
    <xf numFmtId="49" fontId="2" fillId="5" borderId="10" xfId="0" applyNumberFormat="1" applyFont="1" applyFill="1" applyBorder="1" applyAlignment="1">
      <alignment horizontal="center"/>
    </xf>
    <xf numFmtId="0" fontId="2" fillId="5" borderId="13" xfId="0" applyFont="1" applyFill="1" applyBorder="1"/>
    <xf numFmtId="3" fontId="2" fillId="5" borderId="13" xfId="0" applyNumberFormat="1" applyFont="1" applyFill="1" applyBorder="1" applyAlignment="1">
      <alignment horizontal="right"/>
    </xf>
    <xf numFmtId="10" fontId="16" fillId="5" borderId="13" xfId="0" applyNumberFormat="1" applyFont="1" applyFill="1" applyBorder="1" applyAlignment="1">
      <alignment horizontal="right"/>
    </xf>
    <xf numFmtId="177" fontId="2" fillId="5" borderId="13" xfId="0" applyNumberFormat="1" applyFont="1" applyFill="1" applyBorder="1" applyAlignment="1">
      <alignment horizontal="right"/>
    </xf>
    <xf numFmtId="10" fontId="2" fillId="5" borderId="13" xfId="0" applyNumberFormat="1" applyFont="1" applyFill="1" applyBorder="1"/>
    <xf numFmtId="3" fontId="2" fillId="5" borderId="13" xfId="0" applyNumberFormat="1" applyFont="1" applyFill="1" applyBorder="1"/>
    <xf numFmtId="0" fontId="2" fillId="5" borderId="14" xfId="0" applyFont="1" applyFill="1" applyBorder="1"/>
    <xf numFmtId="0" fontId="2" fillId="5" borderId="0" xfId="0" applyFont="1" applyFill="1"/>
    <xf numFmtId="49" fontId="18" fillId="5" borderId="13" xfId="0" applyNumberFormat="1" applyFont="1" applyFill="1" applyBorder="1"/>
    <xf numFmtId="49" fontId="18" fillId="5" borderId="10" xfId="0" applyNumberFormat="1" applyFont="1" applyFill="1" applyBorder="1"/>
    <xf numFmtId="0" fontId="16" fillId="5" borderId="13" xfId="0" applyFont="1" applyFill="1" applyBorder="1"/>
    <xf numFmtId="10" fontId="2" fillId="5" borderId="13" xfId="0" applyNumberFormat="1" applyFont="1" applyFill="1" applyBorder="1" applyAlignment="1">
      <alignment horizontal="right"/>
    </xf>
    <xf numFmtId="3" fontId="16" fillId="5" borderId="13" xfId="0" applyNumberFormat="1" applyFont="1" applyFill="1" applyBorder="1"/>
    <xf numFmtId="49" fontId="18" fillId="0" borderId="4" xfId="0" applyNumberFormat="1" applyFont="1" applyBorder="1"/>
    <xf numFmtId="177" fontId="2" fillId="0" borderId="9" xfId="0" applyNumberFormat="1" applyFont="1" applyBorder="1" applyAlignment="1">
      <alignment horizontal="center"/>
    </xf>
    <xf numFmtId="177" fontId="2" fillId="0" borderId="0" xfId="0" applyNumberFormat="1" applyFont="1"/>
    <xf numFmtId="177" fontId="2" fillId="0" borderId="7" xfId="0" applyNumberFormat="1" applyFont="1" applyBorder="1" applyAlignment="1">
      <alignment wrapText="1"/>
    </xf>
    <xf numFmtId="177" fontId="18" fillId="0" borderId="7" xfId="0" applyNumberFormat="1" applyFont="1" applyBorder="1"/>
    <xf numFmtId="49" fontId="18" fillId="6" borderId="13" xfId="0" applyNumberFormat="1" applyFont="1" applyFill="1" applyBorder="1"/>
    <xf numFmtId="0" fontId="18" fillId="5" borderId="13" xfId="0" applyFont="1" applyFill="1" applyBorder="1"/>
    <xf numFmtId="49" fontId="2" fillId="0" borderId="0" xfId="0" applyNumberFormat="1" applyFont="1"/>
    <xf numFmtId="49" fontId="2" fillId="6" borderId="0" xfId="0" applyNumberFormat="1" applyFont="1" applyFill="1"/>
    <xf numFmtId="3" fontId="2" fillId="6" borderId="4" xfId="0" applyNumberFormat="1" applyFont="1" applyFill="1" applyBorder="1"/>
    <xf numFmtId="10" fontId="2" fillId="6" borderId="4" xfId="0" applyNumberFormat="1" applyFont="1" applyFill="1" applyBorder="1" applyAlignment="1">
      <alignment horizontal="right"/>
    </xf>
    <xf numFmtId="10" fontId="2" fillId="6" borderId="7" xfId="0" applyNumberFormat="1" applyFont="1" applyFill="1" applyBorder="1" applyAlignment="1">
      <alignment horizontal="right"/>
    </xf>
    <xf numFmtId="3" fontId="2" fillId="6" borderId="7" xfId="0" applyNumberFormat="1" applyFont="1" applyFill="1" applyBorder="1" applyAlignment="1">
      <alignment horizontal="right"/>
    </xf>
    <xf numFmtId="0" fontId="2" fillId="6" borderId="4" xfId="0" applyFont="1" applyFill="1" applyBorder="1"/>
    <xf numFmtId="0" fontId="2" fillId="6" borderId="0" xfId="0" applyFont="1" applyFill="1"/>
    <xf numFmtId="49" fontId="20" fillId="0" borderId="9" xfId="0" applyNumberFormat="1" applyFont="1" applyBorder="1" applyAlignment="1">
      <alignment horizontal="center"/>
    </xf>
    <xf numFmtId="0" fontId="20" fillId="0" borderId="7" xfId="0" applyFont="1" applyBorder="1" applyAlignment="1">
      <alignment vertical="top"/>
    </xf>
    <xf numFmtId="3" fontId="20" fillId="6" borderId="7" xfId="0" applyNumberFormat="1" applyFont="1" applyFill="1" applyBorder="1" applyAlignment="1">
      <alignment horizontal="right"/>
    </xf>
    <xf numFmtId="10" fontId="20" fillId="6" borderId="7" xfId="0" applyNumberFormat="1" applyFont="1" applyFill="1" applyBorder="1" applyAlignment="1">
      <alignment horizontal="right"/>
    </xf>
    <xf numFmtId="49" fontId="2" fillId="6" borderId="15" xfId="0" applyNumberFormat="1" applyFont="1" applyFill="1" applyBorder="1"/>
    <xf numFmtId="49" fontId="2" fillId="5" borderId="13" xfId="0" applyNumberFormat="1" applyFont="1" applyFill="1" applyBorder="1"/>
    <xf numFmtId="49" fontId="2" fillId="5" borderId="10" xfId="0" applyNumberFormat="1" applyFont="1" applyFill="1" applyBorder="1"/>
    <xf numFmtId="177" fontId="2" fillId="5" borderId="13" xfId="0" applyNumberFormat="1" applyFont="1" applyFill="1" applyBorder="1"/>
    <xf numFmtId="0" fontId="2" fillId="5" borderId="13" xfId="0" applyFont="1" applyFill="1" applyBorder="1" applyAlignment="1">
      <alignment horizontal="left"/>
    </xf>
    <xf numFmtId="49" fontId="2" fillId="0" borderId="7" xfId="0" applyNumberFormat="1" applyFont="1" applyBorder="1"/>
    <xf numFmtId="0" fontId="20" fillId="6" borderId="10" xfId="0" applyFont="1" applyFill="1" applyBorder="1" applyAlignment="1">
      <alignment wrapText="1"/>
    </xf>
    <xf numFmtId="49" fontId="2" fillId="0" borderId="9" xfId="0" applyNumberFormat="1" applyFont="1" applyBorder="1"/>
    <xf numFmtId="49" fontId="20" fillId="0" borderId="0" xfId="0" applyNumberFormat="1" applyFont="1" applyAlignment="1">
      <alignment horizontal="center"/>
    </xf>
    <xf numFmtId="3" fontId="20" fillId="0" borderId="4" xfId="0" applyNumberFormat="1" applyFont="1" applyBorder="1"/>
    <xf numFmtId="0" fontId="20" fillId="0" borderId="4" xfId="0" applyFont="1" applyBorder="1"/>
    <xf numFmtId="49" fontId="2" fillId="6" borderId="0" xfId="0" applyNumberFormat="1" applyFont="1" applyFill="1" applyAlignment="1">
      <alignment horizontal="center"/>
    </xf>
    <xf numFmtId="10" fontId="2" fillId="3" borderId="4" xfId="0" applyNumberFormat="1" applyFont="1" applyFill="1" applyBorder="1" applyAlignment="1">
      <alignment horizontal="right"/>
    </xf>
    <xf numFmtId="0" fontId="25" fillId="3" borderId="0" xfId="0" applyFont="1" applyFill="1" applyAlignment="1">
      <alignment horizontal="center"/>
    </xf>
    <xf numFmtId="0" fontId="26" fillId="3" borderId="0" xfId="0" applyFont="1" applyFill="1" applyAlignment="1">
      <alignment horizontal="center"/>
    </xf>
    <xf numFmtId="49" fontId="2" fillId="6" borderId="15" xfId="0" applyNumberFormat="1" applyFont="1" applyFill="1" applyBorder="1" applyAlignment="1">
      <alignment horizontal="center"/>
    </xf>
    <xf numFmtId="49" fontId="2" fillId="6" borderId="13" xfId="0" applyNumberFormat="1" applyFont="1" applyFill="1" applyBorder="1" applyAlignment="1">
      <alignment horizontal="center"/>
    </xf>
    <xf numFmtId="49" fontId="2" fillId="6" borderId="10" xfId="0" applyNumberFormat="1" applyFont="1" applyFill="1" applyBorder="1" applyAlignment="1">
      <alignment horizontal="center"/>
    </xf>
    <xf numFmtId="0" fontId="2" fillId="6" borderId="11" xfId="0" applyFont="1" applyFill="1" applyBorder="1"/>
    <xf numFmtId="3" fontId="2" fillId="6" borderId="19" xfId="0" applyNumberFormat="1" applyFont="1" applyFill="1" applyBorder="1"/>
    <xf numFmtId="10" fontId="2" fillId="6" borderId="19" xfId="0" applyNumberFormat="1" applyFont="1" applyFill="1" applyBorder="1" applyAlignment="1">
      <alignment horizontal="right"/>
    </xf>
    <xf numFmtId="177" fontId="20" fillId="0" borderId="7" xfId="0" applyNumberFormat="1" applyFont="1" applyBorder="1" applyAlignment="1">
      <alignment horizontal="right" vertical="center"/>
    </xf>
    <xf numFmtId="10" fontId="2" fillId="6" borderId="13" xfId="0" applyNumberFormat="1" applyFont="1" applyFill="1" applyBorder="1" applyAlignment="1">
      <alignment horizontal="right"/>
    </xf>
    <xf numFmtId="0" fontId="2" fillId="6" borderId="14" xfId="0" applyFont="1" applyFill="1" applyBorder="1"/>
    <xf numFmtId="0" fontId="2" fillId="0" borderId="4" xfId="0" applyFont="1" applyBorder="1" applyAlignment="1">
      <alignment wrapText="1"/>
    </xf>
    <xf numFmtId="177" fontId="2" fillId="0" borderId="4" xfId="0" applyNumberFormat="1" applyFont="1" applyBorder="1" applyAlignment="1">
      <alignment horizontal="right"/>
    </xf>
    <xf numFmtId="49" fontId="2" fillId="3" borderId="13" xfId="0" applyNumberFormat="1" applyFont="1" applyFill="1" applyBorder="1"/>
    <xf numFmtId="49" fontId="2" fillId="3" borderId="10" xfId="0" applyNumberFormat="1" applyFont="1" applyFill="1" applyBorder="1"/>
    <xf numFmtId="3" fontId="2" fillId="3" borderId="21" xfId="0" applyNumberFormat="1" applyFont="1" applyFill="1" applyBorder="1" applyAlignment="1">
      <alignment horizontal="right"/>
    </xf>
    <xf numFmtId="10" fontId="2" fillId="3" borderId="21" xfId="0" applyNumberFormat="1" applyFont="1" applyFill="1" applyBorder="1" applyAlignment="1">
      <alignment horizontal="right"/>
    </xf>
    <xf numFmtId="0" fontId="2" fillId="3" borderId="14" xfId="0" applyFont="1" applyFill="1" applyBorder="1" applyAlignment="1">
      <alignment wrapText="1"/>
    </xf>
    <xf numFmtId="49" fontId="18" fillId="3" borderId="14" xfId="0" applyNumberFormat="1" applyFont="1" applyFill="1" applyBorder="1"/>
    <xf numFmtId="49" fontId="18" fillId="9" borderId="15" xfId="0" applyNumberFormat="1" applyFont="1" applyFill="1" applyBorder="1"/>
    <xf numFmtId="177" fontId="2" fillId="9" borderId="14" xfId="0" applyNumberFormat="1" applyFont="1" applyFill="1" applyBorder="1" applyAlignment="1">
      <alignment wrapText="1"/>
    </xf>
    <xf numFmtId="177" fontId="2" fillId="9" borderId="14" xfId="0" applyNumberFormat="1" applyFont="1" applyFill="1" applyBorder="1" applyAlignment="1">
      <alignment horizontal="right" wrapText="1"/>
    </xf>
    <xf numFmtId="3" fontId="2" fillId="9" borderId="14" xfId="0" applyNumberFormat="1" applyFont="1" applyFill="1" applyBorder="1" applyAlignment="1">
      <alignment horizontal="right" wrapText="1"/>
    </xf>
    <xf numFmtId="0" fontId="20" fillId="3" borderId="13" xfId="0" applyFont="1" applyFill="1" applyBorder="1" applyAlignment="1">
      <alignment horizontal="left"/>
    </xf>
    <xf numFmtId="0" fontId="2" fillId="0" borderId="4" xfId="0" applyFont="1" applyBorder="1" applyAlignment="1">
      <alignment vertical="top"/>
    </xf>
    <xf numFmtId="0" fontId="2" fillId="0" borderId="0" xfId="0" applyFont="1" applyAlignment="1">
      <alignment vertical="top"/>
    </xf>
    <xf numFmtId="177" fontId="2" fillId="3" borderId="14" xfId="0" applyNumberFormat="1" applyFont="1" applyFill="1" applyBorder="1" applyAlignment="1">
      <alignment horizontal="right"/>
    </xf>
    <xf numFmtId="0" fontId="18" fillId="3" borderId="14" xfId="0" applyFont="1" applyFill="1" applyBorder="1"/>
    <xf numFmtId="3" fontId="18" fillId="0" borderId="4" xfId="0" applyNumberFormat="1" applyFont="1" applyBorder="1"/>
    <xf numFmtId="177" fontId="2" fillId="0" borderId="4" xfId="0" applyNumberFormat="1" applyFont="1" applyBorder="1"/>
    <xf numFmtId="177" fontId="2" fillId="3" borderId="14" xfId="0" applyNumberFormat="1" applyFont="1" applyFill="1" applyBorder="1" applyAlignment="1">
      <alignment horizontal="right" wrapText="1"/>
    </xf>
    <xf numFmtId="177" fontId="18" fillId="3" borderId="14" xfId="0" applyNumberFormat="1" applyFont="1" applyFill="1" applyBorder="1"/>
    <xf numFmtId="177" fontId="18" fillId="0" borderId="4" xfId="0" applyNumberFormat="1" applyFont="1" applyBorder="1"/>
    <xf numFmtId="0" fontId="18" fillId="9" borderId="13" xfId="0" applyFont="1" applyFill="1" applyBorder="1"/>
    <xf numFmtId="3" fontId="2" fillId="0" borderId="7" xfId="0" applyNumberFormat="1" applyFont="1" applyBorder="1" applyAlignment="1">
      <alignment horizontal="right" vertical="top"/>
    </xf>
    <xf numFmtId="10" fontId="2" fillId="0" borderId="4" xfId="0" applyNumberFormat="1" applyFont="1" applyBorder="1" applyAlignment="1">
      <alignment horizontal="right" vertical="top"/>
    </xf>
    <xf numFmtId="3" fontId="2" fillId="0" borderId="4" xfId="0" applyNumberFormat="1" applyFont="1" applyBorder="1" applyAlignment="1">
      <alignment horizontal="right" vertical="top"/>
    </xf>
    <xf numFmtId="0" fontId="2" fillId="3" borderId="21" xfId="0" applyFont="1" applyFill="1" applyBorder="1"/>
    <xf numFmtId="0" fontId="2" fillId="3" borderId="23" xfId="0" applyFont="1" applyFill="1" applyBorder="1"/>
    <xf numFmtId="0" fontId="20" fillId="0" borderId="4" xfId="0" applyFont="1" applyBorder="1" applyAlignment="1">
      <alignment wrapText="1"/>
    </xf>
    <xf numFmtId="3" fontId="21" fillId="0" borderId="4" xfId="0" applyNumberFormat="1" applyFont="1" applyBorder="1"/>
    <xf numFmtId="10" fontId="20" fillId="0" borderId="4" xfId="0" applyNumberFormat="1" applyFont="1" applyBorder="1" applyAlignment="1">
      <alignment horizontal="right"/>
    </xf>
    <xf numFmtId="49" fontId="20" fillId="0" borderId="4" xfId="0" applyNumberFormat="1" applyFont="1" applyBorder="1" applyAlignment="1">
      <alignment horizontal="center"/>
    </xf>
    <xf numFmtId="177" fontId="20" fillId="0" borderId="4" xfId="0" applyNumberFormat="1" applyFont="1" applyBorder="1"/>
    <xf numFmtId="49" fontId="20" fillId="3" borderId="10" xfId="0" applyNumberFormat="1" applyFont="1" applyFill="1" applyBorder="1"/>
    <xf numFmtId="0" fontId="20" fillId="3" borderId="13" xfId="0" applyFont="1" applyFill="1" applyBorder="1"/>
    <xf numFmtId="3" fontId="20" fillId="9" borderId="13" xfId="0" applyNumberFormat="1" applyFont="1" applyFill="1" applyBorder="1" applyAlignment="1">
      <alignment horizontal="right"/>
    </xf>
    <xf numFmtId="10" fontId="20" fillId="3" borderId="13" xfId="0" applyNumberFormat="1" applyFont="1" applyFill="1" applyBorder="1" applyAlignment="1">
      <alignment horizontal="right"/>
    </xf>
    <xf numFmtId="0" fontId="21" fillId="9" borderId="13" xfId="0" applyFont="1" applyFill="1" applyBorder="1"/>
    <xf numFmtId="177" fontId="21" fillId="0" borderId="4" xfId="0" applyNumberFormat="1" applyFont="1" applyBorder="1"/>
    <xf numFmtId="0" fontId="21" fillId="0" borderId="4" xfId="0" applyFont="1" applyBorder="1"/>
    <xf numFmtId="49" fontId="21" fillId="0" borderId="4" xfId="0" applyNumberFormat="1" applyFont="1" applyBorder="1"/>
    <xf numFmtId="0" fontId="2" fillId="3" borderId="24" xfId="0" applyFont="1" applyFill="1" applyBorder="1"/>
    <xf numFmtId="0" fontId="20" fillId="0" borderId="7" xfId="0" applyFont="1" applyBorder="1" applyAlignment="1">
      <alignment horizontal="left"/>
    </xf>
    <xf numFmtId="49" fontId="11" fillId="8" borderId="15" xfId="0" applyNumberFormat="1" applyFont="1" applyFill="1" applyBorder="1"/>
    <xf numFmtId="49" fontId="11" fillId="8" borderId="10" xfId="0" applyNumberFormat="1" applyFont="1" applyFill="1" applyBorder="1"/>
    <xf numFmtId="0" fontId="8" fillId="8" borderId="13" xfId="0" applyFont="1" applyFill="1" applyBorder="1" applyAlignment="1">
      <alignment horizontal="right"/>
    </xf>
    <xf numFmtId="0" fontId="11" fillId="8" borderId="13" xfId="0" applyFont="1" applyFill="1" applyBorder="1"/>
    <xf numFmtId="0" fontId="11" fillId="8" borderId="14" xfId="0" applyFont="1" applyFill="1" applyBorder="1"/>
    <xf numFmtId="0" fontId="2" fillId="8" borderId="0" xfId="0" applyFont="1" applyFill="1"/>
    <xf numFmtId="0" fontId="11" fillId="8" borderId="0" xfId="0" applyFont="1" applyFill="1"/>
    <xf numFmtId="49" fontId="18" fillId="0" borderId="0" xfId="0" applyNumberFormat="1" applyFont="1"/>
    <xf numFmtId="49" fontId="2" fillId="9" borderId="15" xfId="0" applyNumberFormat="1" applyFont="1" applyFill="1" applyBorder="1" applyAlignment="1">
      <alignment horizontal="center"/>
    </xf>
    <xf numFmtId="177" fontId="2" fillId="9" borderId="13" xfId="0" applyNumberFormat="1" applyFont="1" applyFill="1" applyBorder="1"/>
    <xf numFmtId="176" fontId="2" fillId="9" borderId="13" xfId="0" applyNumberFormat="1" applyFont="1" applyFill="1" applyBorder="1" applyAlignment="1">
      <alignment horizontal="right"/>
    </xf>
    <xf numFmtId="0" fontId="18" fillId="9" borderId="15" xfId="0" applyFont="1" applyFill="1" applyBorder="1"/>
    <xf numFmtId="0" fontId="18" fillId="9" borderId="0" xfId="0" applyFont="1" applyFill="1"/>
    <xf numFmtId="3" fontId="2" fillId="3" borderId="14" xfId="0" applyNumberFormat="1" applyFont="1" applyFill="1" applyBorder="1" applyAlignment="1">
      <alignment horizontal="right"/>
    </xf>
    <xf numFmtId="0" fontId="2" fillId="9" borderId="4" xfId="0" applyFont="1" applyFill="1" applyBorder="1" applyAlignment="1">
      <alignment vertical="top"/>
    </xf>
    <xf numFmtId="0" fontId="2" fillId="9" borderId="15" xfId="0" applyFont="1" applyFill="1" applyBorder="1"/>
    <xf numFmtId="177" fontId="2" fillId="9" borderId="15" xfId="0" applyNumberFormat="1" applyFont="1" applyFill="1" applyBorder="1" applyAlignment="1">
      <alignment wrapText="1"/>
    </xf>
    <xf numFmtId="3" fontId="2" fillId="9" borderId="15" xfId="0" applyNumberFormat="1" applyFont="1" applyFill="1" applyBorder="1" applyAlignment="1">
      <alignment wrapText="1"/>
    </xf>
    <xf numFmtId="177" fontId="2" fillId="0" borderId="0" xfId="0" applyNumberFormat="1" applyFont="1" applyAlignment="1">
      <alignment horizontal="right"/>
    </xf>
    <xf numFmtId="49" fontId="27" fillId="8" borderId="15" xfId="0" applyNumberFormat="1" applyFont="1" applyFill="1" applyBorder="1"/>
    <xf numFmtId="49" fontId="28" fillId="8" borderId="13" xfId="0" applyNumberFormat="1" applyFont="1" applyFill="1" applyBorder="1" applyAlignment="1">
      <alignment horizontal="center"/>
    </xf>
    <xf numFmtId="49" fontId="27" fillId="8" borderId="10" xfId="0" applyNumberFormat="1" applyFont="1" applyFill="1" applyBorder="1"/>
    <xf numFmtId="0" fontId="28" fillId="8" borderId="13" xfId="0" applyFont="1" applyFill="1" applyBorder="1"/>
    <xf numFmtId="3" fontId="28" fillId="8" borderId="13" xfId="0" applyNumberFormat="1" applyFont="1" applyFill="1" applyBorder="1" applyAlignment="1">
      <alignment horizontal="right"/>
    </xf>
    <xf numFmtId="10" fontId="28" fillId="8" borderId="13" xfId="0" applyNumberFormat="1" applyFont="1" applyFill="1" applyBorder="1" applyAlignment="1">
      <alignment horizontal="right"/>
    </xf>
    <xf numFmtId="0" fontId="27" fillId="8" borderId="13" xfId="0" applyFont="1" applyFill="1" applyBorder="1"/>
    <xf numFmtId="0" fontId="27" fillId="8" borderId="14" xfId="0" applyFont="1" applyFill="1" applyBorder="1"/>
    <xf numFmtId="0" fontId="20" fillId="8" borderId="0" xfId="0" applyFont="1" applyFill="1"/>
    <xf numFmtId="0" fontId="27" fillId="8" borderId="0" xfId="0" applyFont="1" applyFill="1"/>
    <xf numFmtId="3" fontId="20" fillId="0" borderId="7" xfId="0" applyNumberFormat="1" applyFont="1" applyBorder="1"/>
    <xf numFmtId="176" fontId="20" fillId="0" borderId="7" xfId="0" applyNumberFormat="1" applyFont="1" applyBorder="1" applyAlignment="1">
      <alignment horizontal="right"/>
    </xf>
    <xf numFmtId="0" fontId="20" fillId="0" borderId="0" xfId="0" applyFont="1"/>
    <xf numFmtId="49" fontId="20" fillId="0" borderId="7" xfId="0" applyNumberFormat="1" applyFont="1" applyBorder="1" applyAlignment="1">
      <alignment horizontal="center"/>
    </xf>
    <xf numFmtId="49" fontId="20" fillId="0" borderId="9" xfId="0" applyNumberFormat="1" applyFont="1" applyBorder="1" applyAlignment="1">
      <alignment horizontal="center" vertical="top"/>
    </xf>
    <xf numFmtId="49" fontId="20" fillId="6" borderId="15" xfId="0" applyNumberFormat="1" applyFont="1" applyFill="1" applyBorder="1"/>
    <xf numFmtId="49" fontId="20" fillId="3" borderId="13" xfId="0" applyNumberFormat="1" applyFont="1" applyFill="1" applyBorder="1" applyAlignment="1">
      <alignment horizontal="center"/>
    </xf>
    <xf numFmtId="49" fontId="20" fillId="3" borderId="10" xfId="0" applyNumberFormat="1" applyFont="1" applyFill="1" applyBorder="1" applyAlignment="1">
      <alignment horizontal="center"/>
    </xf>
    <xf numFmtId="177" fontId="20" fillId="3" borderId="13" xfId="0" applyNumberFormat="1" applyFont="1" applyFill="1" applyBorder="1" applyAlignment="1">
      <alignment horizontal="right"/>
    </xf>
    <xf numFmtId="3" fontId="20" fillId="3" borderId="13" xfId="0" applyNumberFormat="1" applyFont="1" applyFill="1" applyBorder="1" applyAlignment="1">
      <alignment horizontal="right"/>
    </xf>
    <xf numFmtId="0" fontId="20" fillId="3" borderId="14" xfId="0" applyFont="1" applyFill="1" applyBorder="1"/>
    <xf numFmtId="0" fontId="20" fillId="3" borderId="0" xfId="0" applyFont="1" applyFill="1"/>
    <xf numFmtId="49" fontId="20" fillId="5" borderId="0" xfId="0" applyNumberFormat="1" applyFont="1" applyFill="1" applyAlignment="1">
      <alignment horizontal="center"/>
    </xf>
    <xf numFmtId="49" fontId="18" fillId="5" borderId="15" xfId="0" applyNumberFormat="1" applyFont="1" applyFill="1" applyBorder="1"/>
    <xf numFmtId="177" fontId="16" fillId="5" borderId="13" xfId="0" applyNumberFormat="1" applyFont="1" applyFill="1" applyBorder="1"/>
    <xf numFmtId="3" fontId="20" fillId="5" borderId="7" xfId="0" applyNumberFormat="1" applyFont="1" applyFill="1" applyBorder="1" applyAlignment="1">
      <alignment horizontal="right"/>
    </xf>
    <xf numFmtId="10" fontId="20" fillId="5" borderId="7" xfId="0" applyNumberFormat="1" applyFont="1" applyFill="1" applyBorder="1" applyAlignment="1">
      <alignment horizontal="right"/>
    </xf>
    <xf numFmtId="176" fontId="20" fillId="5" borderId="7" xfId="0" applyNumberFormat="1" applyFont="1" applyFill="1" applyBorder="1" applyAlignment="1">
      <alignment horizontal="right"/>
    </xf>
    <xf numFmtId="0" fontId="20" fillId="5" borderId="4" xfId="0" applyFont="1" applyFill="1" applyBorder="1"/>
    <xf numFmtId="0" fontId="20" fillId="5" borderId="0" xfId="0" applyFont="1" applyFill="1"/>
    <xf numFmtId="49" fontId="20" fillId="6" borderId="15" xfId="0" applyNumberFormat="1" applyFont="1" applyFill="1" applyBorder="1" applyAlignment="1">
      <alignment horizontal="center"/>
    </xf>
    <xf numFmtId="0" fontId="27" fillId="0" borderId="4" xfId="0" applyFont="1" applyBorder="1"/>
    <xf numFmtId="0" fontId="27" fillId="0" borderId="0" xfId="0" applyFont="1"/>
    <xf numFmtId="49" fontId="20" fillId="3" borderId="15" xfId="0" applyNumberFormat="1" applyFont="1" applyFill="1" applyBorder="1" applyAlignment="1">
      <alignment horizontal="center"/>
    </xf>
    <xf numFmtId="177" fontId="2" fillId="3" borderId="13" xfId="0" applyNumberFormat="1" applyFont="1" applyFill="1" applyBorder="1"/>
    <xf numFmtId="3" fontId="20" fillId="3" borderId="7" xfId="0" applyNumberFormat="1" applyFont="1" applyFill="1" applyBorder="1"/>
    <xf numFmtId="3" fontId="20" fillId="3" borderId="7" xfId="0" applyNumberFormat="1" applyFont="1" applyFill="1" applyBorder="1" applyAlignment="1">
      <alignment horizontal="right"/>
    </xf>
    <xf numFmtId="0" fontId="20" fillId="3" borderId="4" xfId="0" applyFont="1" applyFill="1" applyBorder="1"/>
    <xf numFmtId="177" fontId="2" fillId="0" borderId="9" xfId="0" applyNumberFormat="1" applyFont="1" applyBorder="1" applyAlignment="1">
      <alignment vertical="top"/>
    </xf>
    <xf numFmtId="10" fontId="2" fillId="3" borderId="19" xfId="0" applyNumberFormat="1" applyFont="1" applyFill="1" applyBorder="1" applyAlignment="1">
      <alignment horizontal="right"/>
    </xf>
    <xf numFmtId="177" fontId="8" fillId="7" borderId="13" xfId="0" applyNumberFormat="1" applyFont="1" applyFill="1" applyBorder="1" applyAlignment="1">
      <alignment horizontal="right"/>
    </xf>
    <xf numFmtId="3" fontId="8" fillId="7" borderId="13" xfId="0" applyNumberFormat="1" applyFont="1" applyFill="1" applyBorder="1" applyAlignment="1">
      <alignment horizontal="right"/>
    </xf>
    <xf numFmtId="0" fontId="2" fillId="8" borderId="14" xfId="0" applyFont="1" applyFill="1" applyBorder="1"/>
    <xf numFmtId="3" fontId="2" fillId="0" borderId="4" xfId="0" applyNumberFormat="1" applyFont="1" applyBorder="1" applyAlignment="1">
      <alignment vertical="top"/>
    </xf>
    <xf numFmtId="49" fontId="2" fillId="0" borderId="5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0" fontId="2" fillId="0" borderId="16" xfId="0" applyFont="1" applyBorder="1"/>
    <xf numFmtId="10" fontId="2" fillId="0" borderId="16" xfId="0" applyNumberFormat="1" applyFont="1" applyBorder="1"/>
    <xf numFmtId="177" fontId="2" fillId="0" borderId="16" xfId="0" applyNumberFormat="1" applyFont="1" applyBorder="1" applyAlignment="1">
      <alignment horizontal="right"/>
    </xf>
    <xf numFmtId="10" fontId="2" fillId="0" borderId="16" xfId="0" applyNumberFormat="1" applyFont="1" applyBorder="1" applyAlignment="1">
      <alignment horizontal="right"/>
    </xf>
    <xf numFmtId="3" fontId="2" fillId="0" borderId="16" xfId="0" applyNumberFormat="1" applyFont="1" applyBorder="1" applyAlignment="1">
      <alignment horizontal="right"/>
    </xf>
    <xf numFmtId="0" fontId="11" fillId="0" borderId="0" xfId="0" applyFont="1"/>
    <xf numFmtId="0" fontId="1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2" xfId="0" applyFont="1" applyBorder="1"/>
    <xf numFmtId="0" fontId="3" fillId="0" borderId="5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6" fillId="0" borderId="4" xfId="0" applyFont="1" applyBorder="1" applyAlignment="1">
      <alignment horizontal="center"/>
    </xf>
    <xf numFmtId="0" fontId="7" fillId="2" borderId="11" xfId="0" applyFont="1" applyFill="1" applyBorder="1"/>
    <xf numFmtId="0" fontId="4" fillId="0" borderId="12" xfId="0" applyFont="1" applyBorder="1"/>
    <xf numFmtId="0" fontId="3" fillId="0" borderId="0" xfId="0" applyFont="1"/>
    <xf numFmtId="0" fontId="3" fillId="0" borderId="5" xfId="0" applyFont="1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0" fontId="3" fillId="0" borderId="0" xfId="0" applyNumberFormat="1" applyFont="1" applyAlignment="1">
      <alignment horizontal="right"/>
    </xf>
    <xf numFmtId="49" fontId="3" fillId="0" borderId="1" xfId="0" applyNumberFormat="1" applyFont="1" applyBorder="1" applyAlignment="1">
      <alignment horizontal="center"/>
    </xf>
    <xf numFmtId="49" fontId="3" fillId="0" borderId="8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4" fillId="0" borderId="9" xfId="0" applyFont="1" applyBorder="1"/>
    <xf numFmtId="0" fontId="2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4" xfId="0" applyFont="1" applyBorder="1"/>
    <xf numFmtId="0" fontId="1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center"/>
    </xf>
    <xf numFmtId="0" fontId="2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24" fillId="3" borderId="4" xfId="0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2" fillId="0" borderId="8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4" fillId="0" borderId="7" xfId="0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L30"/>
  <sheetViews>
    <sheetView tabSelected="1" workbookViewId="0">
      <selection sqref="A1:I1"/>
    </sheetView>
  </sheetViews>
  <sheetFormatPr defaultColWidth="12.5703125" defaultRowHeight="15" customHeight="1"/>
  <cols>
    <col min="1" max="4" width="2.140625" customWidth="1"/>
    <col min="5" max="5" width="10" customWidth="1"/>
    <col min="6" max="6" width="14.140625" bestFit="1" customWidth="1"/>
    <col min="7" max="7" width="10" customWidth="1"/>
    <col min="8" max="8" width="14.140625" bestFit="1" customWidth="1"/>
    <col min="9" max="12" width="10" customWidth="1"/>
  </cols>
  <sheetData>
    <row r="1" spans="1:12" ht="15.75" customHeight="1">
      <c r="A1" s="568" t="s">
        <v>0</v>
      </c>
      <c r="B1" s="569"/>
      <c r="C1" s="569"/>
      <c r="D1" s="569"/>
      <c r="E1" s="569"/>
      <c r="F1" s="569"/>
      <c r="G1" s="569"/>
      <c r="H1" s="569"/>
      <c r="I1" s="569"/>
      <c r="J1" s="1"/>
      <c r="K1" s="1"/>
      <c r="L1" s="1"/>
    </row>
    <row r="2" spans="1:12" ht="15.75" customHeight="1">
      <c r="A2" s="568" t="s">
        <v>1</v>
      </c>
      <c r="B2" s="569"/>
      <c r="C2" s="569"/>
      <c r="D2" s="569"/>
      <c r="E2" s="569"/>
      <c r="F2" s="569"/>
      <c r="G2" s="569"/>
      <c r="H2" s="569"/>
      <c r="I2" s="569"/>
      <c r="J2" s="1"/>
      <c r="K2" s="1"/>
      <c r="L2" s="1"/>
    </row>
    <row r="3" spans="1:12" ht="15.75" customHeight="1">
      <c r="A3" s="570" t="s">
        <v>2</v>
      </c>
      <c r="B3" s="569"/>
      <c r="C3" s="569"/>
      <c r="D3" s="569"/>
      <c r="E3" s="569"/>
      <c r="F3" s="569"/>
      <c r="G3" s="569"/>
      <c r="H3" s="569"/>
      <c r="I3" s="569"/>
      <c r="J3" s="2"/>
      <c r="K3" s="2"/>
      <c r="L3" s="2"/>
    </row>
    <row r="4" spans="1:12" ht="15.75" customHeight="1">
      <c r="A4" s="571" t="s">
        <v>3</v>
      </c>
      <c r="B4" s="569"/>
      <c r="C4" s="569"/>
      <c r="D4" s="569"/>
      <c r="E4" s="569"/>
      <c r="F4" s="569"/>
      <c r="G4" s="4"/>
      <c r="H4" s="4"/>
      <c r="I4" s="5"/>
      <c r="J4" s="5"/>
      <c r="K4" s="6"/>
      <c r="L4" s="5"/>
    </row>
    <row r="5" spans="1:12" ht="15.75" customHeight="1">
      <c r="A5" s="572" t="s">
        <v>4</v>
      </c>
      <c r="B5" s="573"/>
      <c r="C5" s="573"/>
      <c r="D5" s="573"/>
      <c r="E5" s="574"/>
      <c r="F5" s="7" t="s">
        <v>5</v>
      </c>
      <c r="G5" s="8" t="s">
        <v>6</v>
      </c>
      <c r="H5" s="9" t="s">
        <v>7</v>
      </c>
      <c r="I5" s="8" t="s">
        <v>8</v>
      </c>
      <c r="J5" s="10"/>
      <c r="K5" s="11"/>
      <c r="L5" s="11"/>
    </row>
    <row r="6" spans="1:12" ht="15.75" customHeight="1">
      <c r="A6" s="12" t="s">
        <v>9</v>
      </c>
      <c r="B6" s="12" t="s">
        <v>10</v>
      </c>
      <c r="C6" s="575" t="s">
        <v>11</v>
      </c>
      <c r="D6" s="576"/>
      <c r="E6" s="577"/>
      <c r="F6" s="13" t="s">
        <v>12</v>
      </c>
      <c r="G6" s="13" t="s">
        <v>13</v>
      </c>
      <c r="H6" s="13" t="s">
        <v>12</v>
      </c>
      <c r="I6" s="13" t="s">
        <v>13</v>
      </c>
      <c r="J6" s="10"/>
      <c r="K6" s="11"/>
      <c r="L6" s="11"/>
    </row>
    <row r="7" spans="1:12" ht="15.75" customHeight="1">
      <c r="A7" s="14"/>
      <c r="B7" s="15"/>
      <c r="C7" s="578" t="s">
        <v>14</v>
      </c>
      <c r="D7" s="569"/>
      <c r="E7" s="569"/>
      <c r="F7" s="16">
        <f>'表2｜主要表'!G7</f>
        <v>2439553</v>
      </c>
      <c r="G7" s="17">
        <f>F7/F7</f>
        <v>1</v>
      </c>
      <c r="H7" s="18">
        <f>H9+H21+H24</f>
        <v>1193805</v>
      </c>
      <c r="I7" s="19">
        <f>H7/H7</f>
        <v>1</v>
      </c>
      <c r="J7" s="20"/>
      <c r="K7" s="21"/>
      <c r="L7" s="21"/>
    </row>
    <row r="8" spans="1:12" ht="15.75" customHeight="1">
      <c r="A8" s="22"/>
      <c r="B8" s="22"/>
      <c r="C8" s="23"/>
      <c r="D8" s="23"/>
      <c r="E8" s="23"/>
      <c r="F8" s="24"/>
      <c r="G8" s="25"/>
      <c r="H8" s="26"/>
      <c r="I8" s="27"/>
      <c r="J8" s="27"/>
      <c r="K8" s="25"/>
      <c r="L8" s="25"/>
    </row>
    <row r="9" spans="1:12" ht="15.75" customHeight="1">
      <c r="A9" s="28">
        <v>1</v>
      </c>
      <c r="B9" s="28">
        <v>0</v>
      </c>
      <c r="C9" s="579" t="s">
        <v>15</v>
      </c>
      <c r="D9" s="580"/>
      <c r="E9" s="580"/>
      <c r="F9" s="29">
        <f>'表2｜主要表'!G9</f>
        <v>2439553</v>
      </c>
      <c r="G9" s="30">
        <f>'表2｜主要表'!H9</f>
        <v>1</v>
      </c>
      <c r="H9" s="31">
        <f>'表2｜主要表'!I9</f>
        <v>1006930</v>
      </c>
      <c r="I9" s="30">
        <f>'表2｜主要表'!J9</f>
        <v>0.84346270957149616</v>
      </c>
      <c r="J9" s="32"/>
      <c r="K9" s="33"/>
      <c r="L9" s="34"/>
    </row>
    <row r="10" spans="1:12" ht="15.75" customHeight="1">
      <c r="A10" s="22"/>
      <c r="B10" s="35">
        <v>1</v>
      </c>
      <c r="C10" s="581" t="s">
        <v>16</v>
      </c>
      <c r="D10" s="569"/>
      <c r="E10" s="569"/>
      <c r="F10" s="37">
        <f>'表2｜主要表'!G11</f>
        <v>2133763</v>
      </c>
      <c r="G10" s="38">
        <f>'表2｜主要表'!H11</f>
        <v>0.87465326639757368</v>
      </c>
      <c r="H10" s="39">
        <f>'表2｜主要表'!I11</f>
        <v>48600</v>
      </c>
      <c r="I10" s="40">
        <f>'表2｜主要表'!J11</f>
        <v>4.8265519946768892E-2</v>
      </c>
      <c r="J10" s="40"/>
      <c r="K10" s="41"/>
      <c r="L10" s="42"/>
    </row>
    <row r="11" spans="1:12" ht="15.75" customHeight="1">
      <c r="A11" s="35"/>
      <c r="B11" s="35">
        <v>2</v>
      </c>
      <c r="C11" s="581" t="s">
        <v>17</v>
      </c>
      <c r="D11" s="569"/>
      <c r="E11" s="569"/>
      <c r="F11" s="43">
        <v>0</v>
      </c>
      <c r="G11" s="38">
        <f>'表2｜主要表'!H17</f>
        <v>0</v>
      </c>
      <c r="H11" s="44">
        <f>'表2｜主要表'!I17</f>
        <v>56943</v>
      </c>
      <c r="I11" s="40">
        <f>'表2｜主要表'!J17</f>
        <v>5.6551100870964217E-2</v>
      </c>
      <c r="J11" s="40"/>
      <c r="K11" s="41"/>
      <c r="L11" s="42"/>
    </row>
    <row r="12" spans="1:12" ht="15.75" customHeight="1">
      <c r="A12" s="35"/>
      <c r="B12" s="35">
        <v>3</v>
      </c>
      <c r="C12" s="581" t="s">
        <v>18</v>
      </c>
      <c r="D12" s="569"/>
      <c r="E12" s="569"/>
      <c r="F12" s="45">
        <f>'表2｜主要表'!G22</f>
        <v>0</v>
      </c>
      <c r="G12" s="46">
        <f>'表2｜主要表'!H22</f>
        <v>0</v>
      </c>
      <c r="H12" s="44">
        <f>'表2｜主要表'!I22</f>
        <v>28050</v>
      </c>
      <c r="I12" s="40">
        <f>'表2｜主要表'!J22</f>
        <v>2.7856951327301798E-2</v>
      </c>
      <c r="J12" s="40"/>
      <c r="K12" s="41"/>
      <c r="L12" s="42"/>
    </row>
    <row r="13" spans="1:12" ht="15.75" customHeight="1">
      <c r="A13" s="35"/>
      <c r="B13" s="35">
        <v>4</v>
      </c>
      <c r="C13" s="581" t="s">
        <v>19</v>
      </c>
      <c r="D13" s="569"/>
      <c r="E13" s="569"/>
      <c r="F13" s="45">
        <f>'表2｜主要表'!G27</f>
        <v>109104</v>
      </c>
      <c r="G13" s="38">
        <f>'表2｜主要表'!H27</f>
        <v>4.4722947195654283E-2</v>
      </c>
      <c r="H13" s="44">
        <f>'表2｜主要表'!I27</f>
        <v>142954</v>
      </c>
      <c r="I13" s="38">
        <f>'表2｜主要表'!J27</f>
        <v>0.14197014688210699</v>
      </c>
      <c r="J13" s="38"/>
      <c r="K13" s="41"/>
      <c r="L13" s="42"/>
    </row>
    <row r="14" spans="1:12" ht="15.75" customHeight="1">
      <c r="A14" s="35"/>
      <c r="B14" s="35">
        <v>5</v>
      </c>
      <c r="C14" s="581" t="s">
        <v>20</v>
      </c>
      <c r="D14" s="569"/>
      <c r="E14" s="569"/>
      <c r="F14" s="43">
        <v>0</v>
      </c>
      <c r="G14" s="38">
        <f>'表2｜主要表'!H33</f>
        <v>0</v>
      </c>
      <c r="H14" s="44">
        <f>'表2｜主要表'!I33</f>
        <v>116558</v>
      </c>
      <c r="I14" s="38">
        <f>'表2｜主要表'!J33</f>
        <v>0.11575581222130635</v>
      </c>
      <c r="J14" s="38"/>
      <c r="K14" s="41"/>
      <c r="L14" s="36"/>
    </row>
    <row r="15" spans="1:12" ht="15.75" customHeight="1">
      <c r="A15" s="35"/>
      <c r="B15" s="35">
        <v>6</v>
      </c>
      <c r="C15" s="581" t="s">
        <v>21</v>
      </c>
      <c r="D15" s="569"/>
      <c r="E15" s="569"/>
      <c r="F15" s="45">
        <f>'表3-1｜期入決算附屬表'!G69</f>
        <v>103768</v>
      </c>
      <c r="G15" s="38">
        <f>'表2｜主要表'!H62</f>
        <v>4.2535661246138126E-2</v>
      </c>
      <c r="H15" s="44">
        <f>'表2｜主要表'!I62</f>
        <v>213117</v>
      </c>
      <c r="I15" s="38">
        <f>'表2｜主要表'!J62</f>
        <v>0.21165026367274786</v>
      </c>
      <c r="J15" s="38"/>
      <c r="K15" s="41"/>
      <c r="L15" s="42"/>
    </row>
    <row r="16" spans="1:12" ht="15.75" customHeight="1">
      <c r="A16" s="35"/>
      <c r="B16" s="35">
        <v>7</v>
      </c>
      <c r="C16" s="581" t="s">
        <v>22</v>
      </c>
      <c r="D16" s="569"/>
      <c r="E16" s="569"/>
      <c r="F16" s="45">
        <f>'表2｜主要表'!G70</f>
        <v>0</v>
      </c>
      <c r="G16" s="46">
        <f>'表2｜主要表'!H70</f>
        <v>0</v>
      </c>
      <c r="H16" s="44">
        <f>'表2｜主要表'!I70</f>
        <v>30679</v>
      </c>
      <c r="I16" s="38">
        <f>'表2｜主要表'!J70</f>
        <v>3.0467857745821458E-2</v>
      </c>
      <c r="J16" s="38"/>
      <c r="K16" s="41"/>
      <c r="L16" s="42"/>
    </row>
    <row r="17" spans="1:12" ht="15.75" customHeight="1">
      <c r="A17" s="35"/>
      <c r="B17" s="35">
        <v>8</v>
      </c>
      <c r="C17" s="581" t="s">
        <v>23</v>
      </c>
      <c r="D17" s="569"/>
      <c r="E17" s="569"/>
      <c r="F17" s="45">
        <f>'表2｜主要表'!G77</f>
        <v>50000</v>
      </c>
      <c r="G17" s="38">
        <f>'表2｜主要表'!H77</f>
        <v>2.0495557997715155E-2</v>
      </c>
      <c r="H17" s="44">
        <f>'表2｜主要表'!I77</f>
        <v>219815</v>
      </c>
      <c r="I17" s="38">
        <f>'表2｜主要表'!J77</f>
        <v>0.21830216598969143</v>
      </c>
      <c r="J17" s="38"/>
      <c r="K17" s="41"/>
      <c r="L17" s="42"/>
    </row>
    <row r="18" spans="1:12" ht="15.75" customHeight="1">
      <c r="A18" s="35"/>
      <c r="B18" s="35">
        <v>9</v>
      </c>
      <c r="C18" s="581" t="s">
        <v>24</v>
      </c>
      <c r="D18" s="569"/>
      <c r="E18" s="569"/>
      <c r="F18" s="45">
        <f>'表2｜主要表'!G85</f>
        <v>42918</v>
      </c>
      <c r="G18" s="38">
        <f>'表2｜主要表'!H85</f>
        <v>1.7592567162918779E-2</v>
      </c>
      <c r="H18" s="44">
        <f>'表2｜主要表'!I85</f>
        <v>91524</v>
      </c>
      <c r="I18" s="38">
        <f>'表2｜主要表'!J85</f>
        <v>9.0894103860248474E-2</v>
      </c>
      <c r="J18" s="38"/>
      <c r="K18" s="41"/>
      <c r="L18" s="36"/>
    </row>
    <row r="19" spans="1:12" ht="15.75" customHeight="1">
      <c r="A19" s="35"/>
      <c r="B19" s="35" t="s">
        <v>25</v>
      </c>
      <c r="C19" s="581" t="s">
        <v>26</v>
      </c>
      <c r="D19" s="569"/>
      <c r="E19" s="569"/>
      <c r="F19" s="45">
        <f>'表2｜主要表'!G95</f>
        <v>0</v>
      </c>
      <c r="G19" s="38">
        <f>'表2｜主要表'!H95</f>
        <v>0</v>
      </c>
      <c r="H19" s="44">
        <f>'表2｜主要表'!I95</f>
        <v>58690</v>
      </c>
      <c r="I19" s="38">
        <f>'表2｜主要表'!J95</f>
        <v>5.8286077483042514E-2</v>
      </c>
      <c r="J19" s="38"/>
      <c r="K19" s="41"/>
      <c r="L19" s="36"/>
    </row>
    <row r="20" spans="1:12" ht="15.75" customHeight="1">
      <c r="A20" s="22"/>
      <c r="B20" s="22"/>
      <c r="C20" s="23"/>
      <c r="D20" s="23"/>
      <c r="E20" s="23"/>
      <c r="F20" s="47"/>
      <c r="G20" s="25"/>
      <c r="H20" s="48"/>
      <c r="I20" s="25"/>
      <c r="J20" s="27"/>
      <c r="K20" s="49"/>
      <c r="L20" s="42"/>
    </row>
    <row r="21" spans="1:12" ht="15.75" customHeight="1">
      <c r="A21" s="28">
        <v>2</v>
      </c>
      <c r="B21" s="28">
        <v>0</v>
      </c>
      <c r="C21" s="579" t="s">
        <v>27</v>
      </c>
      <c r="D21" s="580"/>
      <c r="E21" s="580"/>
      <c r="F21" s="29">
        <f>'表2｜主要表'!G104</f>
        <v>0</v>
      </c>
      <c r="G21" s="50">
        <f>'表2｜主要表'!H104</f>
        <v>0</v>
      </c>
      <c r="H21" s="29">
        <f>'表2｜主要表'!I104</f>
        <v>156075</v>
      </c>
      <c r="I21" s="51">
        <f>'表2｜主要表'!J104</f>
        <v>0.13073743199266211</v>
      </c>
      <c r="J21" s="30"/>
      <c r="K21" s="51"/>
      <c r="L21" s="34"/>
    </row>
    <row r="22" spans="1:12" ht="15.75" customHeight="1">
      <c r="A22" s="35"/>
      <c r="B22" s="35">
        <v>1</v>
      </c>
      <c r="C22" s="581" t="s">
        <v>28</v>
      </c>
      <c r="D22" s="569"/>
      <c r="E22" s="569"/>
      <c r="F22" s="45">
        <f>'表2｜主要表'!G105</f>
        <v>0</v>
      </c>
      <c r="G22" s="52">
        <f>'表2｜主要表'!H105</f>
        <v>0</v>
      </c>
      <c r="H22" s="45">
        <f>'表2｜主要表'!I105</f>
        <v>156075</v>
      </c>
      <c r="I22" s="46">
        <f>'表2｜主要表'!J105</f>
        <v>1</v>
      </c>
      <c r="J22" s="38"/>
      <c r="K22" s="46"/>
      <c r="L22" s="6"/>
    </row>
    <row r="23" spans="1:12" ht="15.75" customHeight="1">
      <c r="A23" s="35"/>
      <c r="B23" s="35"/>
      <c r="C23" s="53"/>
      <c r="D23" s="53"/>
      <c r="E23" s="36"/>
      <c r="F23" s="54"/>
      <c r="G23" s="55"/>
      <c r="H23" s="56"/>
      <c r="I23" s="55"/>
      <c r="J23" s="40"/>
      <c r="K23" s="55"/>
      <c r="L23" s="42"/>
    </row>
    <row r="24" spans="1:12" ht="15.75" customHeight="1">
      <c r="A24" s="28">
        <v>3</v>
      </c>
      <c r="B24" s="28">
        <v>0</v>
      </c>
      <c r="C24" s="579" t="s">
        <v>29</v>
      </c>
      <c r="D24" s="580"/>
      <c r="E24" s="580"/>
      <c r="F24" s="29">
        <f>'表2｜主要表'!G114</f>
        <v>0</v>
      </c>
      <c r="G24" s="50">
        <f>'表2｜主要表'!H114</f>
        <v>0</v>
      </c>
      <c r="H24" s="29">
        <f>'表2｜主要表'!I114</f>
        <v>30800</v>
      </c>
      <c r="I24" s="51">
        <f>'表2｜主要表'!J114</f>
        <v>2.5799858435841698E-2</v>
      </c>
      <c r="J24" s="30"/>
      <c r="K24" s="51"/>
      <c r="L24" s="57"/>
    </row>
    <row r="25" spans="1:12" ht="15.75" customHeight="1">
      <c r="A25" s="58"/>
      <c r="B25" s="58">
        <v>1</v>
      </c>
      <c r="C25" s="582" t="s">
        <v>30</v>
      </c>
      <c r="D25" s="576"/>
      <c r="E25" s="576"/>
      <c r="F25" s="59">
        <f>'表2｜主要表'!G115</f>
        <v>0</v>
      </c>
      <c r="G25" s="60">
        <f>'表2｜主要表'!H115</f>
        <v>0</v>
      </c>
      <c r="H25" s="59">
        <f>'表2｜主要表'!I115</f>
        <v>30800</v>
      </c>
      <c r="I25" s="60">
        <f>'表2｜主要表'!J115</f>
        <v>1</v>
      </c>
      <c r="J25" s="38"/>
      <c r="K25" s="46"/>
      <c r="L25" s="46"/>
    </row>
    <row r="26" spans="1:12" ht="15.75" customHeight="1">
      <c r="A26" s="53"/>
      <c r="B26" s="53"/>
      <c r="C26" s="53"/>
      <c r="D26" s="53"/>
      <c r="E26" s="36"/>
      <c r="F26" s="36"/>
      <c r="G26" s="55"/>
      <c r="H26" s="42"/>
      <c r="I26" s="55"/>
      <c r="J26" s="55"/>
      <c r="K26" s="55"/>
      <c r="L26" s="55"/>
    </row>
    <row r="27" spans="1:12" ht="15.75" customHeight="1">
      <c r="A27" s="53" t="s">
        <v>9</v>
      </c>
      <c r="B27" s="53"/>
      <c r="C27" s="583" t="s">
        <v>31</v>
      </c>
      <c r="D27" s="569"/>
      <c r="E27" s="569"/>
      <c r="F27" s="36"/>
      <c r="G27" s="55"/>
      <c r="H27" s="42"/>
      <c r="I27" s="55"/>
      <c r="J27" s="42"/>
      <c r="K27" s="55"/>
      <c r="L27" s="55"/>
    </row>
    <row r="28" spans="1:12" ht="15.75" customHeight="1">
      <c r="A28" s="53" t="s">
        <v>10</v>
      </c>
      <c r="B28" s="53"/>
      <c r="C28" s="583" t="s">
        <v>32</v>
      </c>
      <c r="D28" s="569"/>
      <c r="E28" s="569"/>
      <c r="F28" s="36"/>
      <c r="G28" s="55"/>
      <c r="H28" s="42"/>
      <c r="I28" s="61"/>
      <c r="J28" s="42"/>
      <c r="K28" s="55"/>
      <c r="L28" s="61"/>
    </row>
    <row r="29" spans="1:12" ht="15.75" customHeight="1">
      <c r="A29" s="53" t="s">
        <v>33</v>
      </c>
      <c r="B29" s="53"/>
      <c r="C29" s="583" t="s">
        <v>34</v>
      </c>
      <c r="D29" s="569"/>
      <c r="E29" s="569"/>
      <c r="F29" s="36"/>
      <c r="G29" s="55"/>
      <c r="H29" s="42"/>
      <c r="I29" s="55"/>
      <c r="J29" s="42"/>
      <c r="K29" s="55"/>
      <c r="L29" s="55"/>
    </row>
    <row r="30" spans="1:12" ht="15.75" customHeight="1">
      <c r="A30" s="53" t="s">
        <v>35</v>
      </c>
      <c r="B30" s="53"/>
      <c r="C30" s="583" t="s">
        <v>36</v>
      </c>
      <c r="D30" s="569"/>
      <c r="E30" s="569"/>
      <c r="F30" s="36"/>
      <c r="G30" s="55"/>
      <c r="H30" s="42"/>
      <c r="I30" s="55"/>
      <c r="J30" s="42"/>
      <c r="K30" s="55"/>
      <c r="L30" s="55"/>
    </row>
  </sheetData>
  <mergeCells count="26">
    <mergeCell ref="C27:E27"/>
    <mergeCell ref="C28:E28"/>
    <mergeCell ref="C29:E29"/>
    <mergeCell ref="C30:E30"/>
    <mergeCell ref="C16:E16"/>
    <mergeCell ref="C17:E17"/>
    <mergeCell ref="C18:E18"/>
    <mergeCell ref="C19:E19"/>
    <mergeCell ref="C21:E21"/>
    <mergeCell ref="C22:E22"/>
    <mergeCell ref="C24:E24"/>
    <mergeCell ref="C12:E12"/>
    <mergeCell ref="C13:E13"/>
    <mergeCell ref="C14:E14"/>
    <mergeCell ref="C15:E15"/>
    <mergeCell ref="C25:E25"/>
    <mergeCell ref="C6:E6"/>
    <mergeCell ref="C7:E7"/>
    <mergeCell ref="C9:E9"/>
    <mergeCell ref="C10:E10"/>
    <mergeCell ref="C11:E11"/>
    <mergeCell ref="A1:I1"/>
    <mergeCell ref="A2:I2"/>
    <mergeCell ref="A3:I3"/>
    <mergeCell ref="A4:F4"/>
    <mergeCell ref="A5:E5"/>
  </mergeCells>
  <phoneticPr fontId="30" type="noConversion"/>
  <printOptions horizontalCentered="1"/>
  <pageMargins left="0.25" right="0.25" top="0.75" bottom="0.75" header="0" footer="0"/>
  <pageSetup paperSize="9" fitToHeight="0" orientation="portrait"/>
  <headerFooter>
    <oddFooter>&amp;L&amp;A&amp;R&amp;P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117"/>
  <sheetViews>
    <sheetView workbookViewId="0">
      <pane ySplit="8" topLeftCell="A9" activePane="bottomLeft" state="frozen"/>
      <selection pane="bottomLeft" activeCell="B10" sqref="B10"/>
    </sheetView>
  </sheetViews>
  <sheetFormatPr defaultColWidth="12.5703125" defaultRowHeight="15" customHeight="1"/>
  <cols>
    <col min="1" max="4" width="2.140625" customWidth="1"/>
    <col min="5" max="5" width="3.28515625" customWidth="1"/>
    <col min="6" max="6" width="39.85546875" customWidth="1"/>
    <col min="7" max="7" width="14.140625" bestFit="1" customWidth="1"/>
    <col min="8" max="8" width="12.5703125" bestFit="1" customWidth="1"/>
    <col min="9" max="9" width="14.140625" bestFit="1" customWidth="1"/>
    <col min="10" max="10" width="12.5703125" bestFit="1" customWidth="1"/>
    <col min="11" max="14" width="19.42578125" customWidth="1"/>
  </cols>
  <sheetData>
    <row r="1" spans="1:14" ht="15.75" customHeight="1">
      <c r="A1" s="568" t="s">
        <v>0</v>
      </c>
      <c r="B1" s="569"/>
      <c r="C1" s="569"/>
      <c r="D1" s="569"/>
      <c r="E1" s="569"/>
      <c r="F1" s="569"/>
      <c r="G1" s="569"/>
      <c r="H1" s="569"/>
      <c r="I1" s="569"/>
      <c r="J1" s="569"/>
      <c r="K1" s="569"/>
      <c r="L1" s="1"/>
      <c r="M1" s="1"/>
      <c r="N1" s="1"/>
    </row>
    <row r="2" spans="1:14" ht="15.75" customHeight="1">
      <c r="A2" s="568" t="s">
        <v>37</v>
      </c>
      <c r="B2" s="569"/>
      <c r="C2" s="569"/>
      <c r="D2" s="569"/>
      <c r="E2" s="569"/>
      <c r="F2" s="569"/>
      <c r="G2" s="569"/>
      <c r="H2" s="569"/>
      <c r="I2" s="569"/>
      <c r="J2" s="569"/>
      <c r="K2" s="569"/>
      <c r="L2" s="1"/>
      <c r="M2" s="1"/>
      <c r="N2" s="1"/>
    </row>
    <row r="3" spans="1:14" ht="15.75" customHeight="1">
      <c r="A3" s="584" t="s">
        <v>2</v>
      </c>
      <c r="B3" s="569"/>
      <c r="C3" s="569"/>
      <c r="D3" s="569"/>
      <c r="E3" s="569"/>
      <c r="F3" s="569"/>
      <c r="G3" s="569"/>
      <c r="H3" s="569"/>
      <c r="I3" s="569"/>
      <c r="J3" s="569"/>
      <c r="K3" s="569"/>
      <c r="L3" s="53"/>
      <c r="M3" s="53"/>
      <c r="N3" s="53"/>
    </row>
    <row r="4" spans="1:14" ht="15.75" customHeight="1">
      <c r="A4" s="585" t="s">
        <v>3</v>
      </c>
      <c r="B4" s="569"/>
      <c r="C4" s="569"/>
      <c r="D4" s="569"/>
      <c r="E4" s="569"/>
      <c r="F4" s="569"/>
      <c r="G4" s="569"/>
      <c r="H4" s="569"/>
      <c r="I4" s="62"/>
      <c r="J4" s="586"/>
      <c r="K4" s="569"/>
      <c r="L4" s="5"/>
      <c r="M4" s="5"/>
      <c r="N4" s="5"/>
    </row>
    <row r="5" spans="1:14" ht="15.75" customHeight="1">
      <c r="A5" s="587" t="s">
        <v>38</v>
      </c>
      <c r="B5" s="573"/>
      <c r="C5" s="573"/>
      <c r="D5" s="573"/>
      <c r="E5" s="588" t="s">
        <v>39</v>
      </c>
      <c r="F5" s="573"/>
      <c r="G5" s="64" t="s">
        <v>40</v>
      </c>
      <c r="H5" s="65"/>
      <c r="I5" s="66" t="s">
        <v>41</v>
      </c>
      <c r="J5" s="65"/>
      <c r="K5" s="589" t="s">
        <v>42</v>
      </c>
      <c r="L5" s="67"/>
      <c r="M5" s="67"/>
      <c r="N5" s="67"/>
    </row>
    <row r="6" spans="1:14" ht="15.75" customHeight="1">
      <c r="A6" s="68" t="s">
        <v>9</v>
      </c>
      <c r="B6" s="68" t="s">
        <v>10</v>
      </c>
      <c r="C6" s="68" t="s">
        <v>33</v>
      </c>
      <c r="D6" s="68" t="s">
        <v>35</v>
      </c>
      <c r="E6" s="69" t="s">
        <v>43</v>
      </c>
      <c r="F6" s="70" t="s">
        <v>44</v>
      </c>
      <c r="G6" s="71" t="s">
        <v>12</v>
      </c>
      <c r="H6" s="72"/>
      <c r="I6" s="73" t="s">
        <v>12</v>
      </c>
      <c r="J6" s="72"/>
      <c r="K6" s="590"/>
      <c r="L6" s="67"/>
      <c r="M6" s="67"/>
      <c r="N6" s="67"/>
    </row>
    <row r="7" spans="1:14" ht="15.75" customHeight="1">
      <c r="A7" s="63"/>
      <c r="B7" s="74"/>
      <c r="C7" s="63"/>
      <c r="D7" s="74"/>
      <c r="E7" s="75"/>
      <c r="F7" s="76" t="s">
        <v>14</v>
      </c>
      <c r="G7" s="77">
        <f>G9+G104+G114</f>
        <v>2439553</v>
      </c>
      <c r="H7" s="78">
        <f>G7/G7</f>
        <v>1</v>
      </c>
      <c r="I7" s="77">
        <f>'表3-2｜期出決算附屬表'!G7</f>
        <v>1193805</v>
      </c>
      <c r="J7" s="79">
        <f>I7/I7</f>
        <v>1</v>
      </c>
      <c r="K7" s="80"/>
      <c r="L7" s="81"/>
      <c r="M7" s="81"/>
      <c r="N7" s="81"/>
    </row>
    <row r="8" spans="1:14" ht="15.75" customHeight="1">
      <c r="A8" s="68"/>
      <c r="B8" s="82"/>
      <c r="C8" s="68"/>
      <c r="D8" s="82"/>
      <c r="E8" s="75"/>
      <c r="F8" s="83"/>
      <c r="G8" s="84"/>
      <c r="H8" s="85"/>
      <c r="I8" s="84"/>
      <c r="J8" s="86"/>
      <c r="K8" s="54"/>
      <c r="L8" s="36"/>
      <c r="M8" s="36"/>
      <c r="N8" s="36"/>
    </row>
    <row r="9" spans="1:14" ht="15.75" customHeight="1">
      <c r="A9" s="87" t="s">
        <v>45</v>
      </c>
      <c r="B9" s="88" t="s">
        <v>46</v>
      </c>
      <c r="C9" s="87" t="s">
        <v>46</v>
      </c>
      <c r="D9" s="88" t="s">
        <v>46</v>
      </c>
      <c r="E9" s="89"/>
      <c r="F9" s="90" t="s">
        <v>15</v>
      </c>
      <c r="G9" s="29">
        <f>'表3-1｜期入決算附屬表'!G9</f>
        <v>2439553</v>
      </c>
      <c r="H9" s="91">
        <f>G9/G7</f>
        <v>1</v>
      </c>
      <c r="I9" s="29">
        <f>'表3-2｜期出決算附屬表'!G9</f>
        <v>1006930</v>
      </c>
      <c r="J9" s="91">
        <f>'表3-2｜期出決算附屬表'!H9</f>
        <v>0.84346270957149616</v>
      </c>
      <c r="K9" s="92"/>
      <c r="L9" s="93"/>
      <c r="M9" s="93"/>
      <c r="N9" s="93"/>
    </row>
    <row r="10" spans="1:14" ht="15.75" customHeight="1">
      <c r="A10" s="68"/>
      <c r="B10" s="82"/>
      <c r="C10" s="68"/>
      <c r="D10" s="82"/>
      <c r="E10" s="75"/>
      <c r="F10" s="94"/>
      <c r="G10" s="95"/>
      <c r="H10" s="96"/>
      <c r="I10" s="97"/>
      <c r="J10" s="98"/>
      <c r="K10" s="54"/>
      <c r="L10" s="36"/>
      <c r="M10" s="36"/>
      <c r="N10" s="36"/>
    </row>
    <row r="11" spans="1:14" ht="15.75" customHeight="1">
      <c r="A11" s="99"/>
      <c r="B11" s="100" t="s">
        <v>45</v>
      </c>
      <c r="C11" s="101" t="s">
        <v>46</v>
      </c>
      <c r="D11" s="100" t="s">
        <v>46</v>
      </c>
      <c r="E11" s="102"/>
      <c r="F11" s="103" t="s">
        <v>16</v>
      </c>
      <c r="G11" s="104">
        <f>'表3-1｜期入決算附屬表'!G11</f>
        <v>2133763</v>
      </c>
      <c r="H11" s="105">
        <f>G11/$G$9</f>
        <v>0.87465326639757368</v>
      </c>
      <c r="I11" s="106">
        <f>'表3-2｜期出決算附屬表'!G12</f>
        <v>48600</v>
      </c>
      <c r="J11" s="107">
        <f>'表3-2｜期出決算附屬表'!H11</f>
        <v>4.8265519946768892E-2</v>
      </c>
      <c r="K11" s="108"/>
      <c r="L11" s="109"/>
      <c r="M11" s="109"/>
      <c r="N11" s="109"/>
    </row>
    <row r="12" spans="1:14" ht="15.75" customHeight="1">
      <c r="A12" s="68"/>
      <c r="B12" s="82"/>
      <c r="C12" s="68"/>
      <c r="D12" s="82"/>
      <c r="E12" s="75"/>
      <c r="F12" s="94"/>
      <c r="G12" s="110"/>
      <c r="H12" s="96"/>
      <c r="I12" s="97"/>
      <c r="J12" s="98"/>
      <c r="K12" s="54"/>
      <c r="L12" s="36"/>
      <c r="M12" s="36"/>
      <c r="N12" s="36"/>
    </row>
    <row r="13" spans="1:14" ht="15.75" customHeight="1">
      <c r="A13" s="68"/>
      <c r="B13" s="111"/>
      <c r="C13" s="112" t="s">
        <v>46</v>
      </c>
      <c r="D13" s="111" t="s">
        <v>45</v>
      </c>
      <c r="E13" s="113"/>
      <c r="F13" s="114" t="s">
        <v>47</v>
      </c>
      <c r="G13" s="110">
        <f>'表3-1｜期入決算附屬表'!G13</f>
        <v>2133763</v>
      </c>
      <c r="H13" s="115">
        <f>G13/G11</f>
        <v>1</v>
      </c>
      <c r="I13" s="97">
        <f>'表3-2｜期出決算附屬表'!G12</f>
        <v>48600</v>
      </c>
      <c r="J13" s="98">
        <f>I13/I11</f>
        <v>1</v>
      </c>
      <c r="K13" s="116" t="str">
        <f t="shared" ref="K13:K15" si="0">"會費支出："&amp;(I13-G13)</f>
        <v>會費支出：-2085163</v>
      </c>
      <c r="L13" s="117"/>
      <c r="M13" s="117"/>
      <c r="N13" s="117"/>
    </row>
    <row r="14" spans="1:14" ht="15.75" customHeight="1">
      <c r="A14" s="68"/>
      <c r="B14" s="111"/>
      <c r="C14" s="112" t="s">
        <v>46</v>
      </c>
      <c r="D14" s="111" t="s">
        <v>48</v>
      </c>
      <c r="E14" s="113"/>
      <c r="F14" s="114" t="s">
        <v>49</v>
      </c>
      <c r="G14" s="110">
        <f>'表3-1｜期入決算附屬表'!G19</f>
        <v>0</v>
      </c>
      <c r="H14" s="96">
        <v>0</v>
      </c>
      <c r="I14" s="97">
        <f>'表3-2｜期出決算附屬表'!G24</f>
        <v>0</v>
      </c>
      <c r="J14" s="98">
        <v>0</v>
      </c>
      <c r="K14" s="116" t="str">
        <f t="shared" si="0"/>
        <v>會費支出：0</v>
      </c>
      <c r="L14" s="117"/>
      <c r="M14" s="117"/>
      <c r="N14" s="117"/>
    </row>
    <row r="15" spans="1:14" ht="15.75" customHeight="1">
      <c r="A15" s="68"/>
      <c r="B15" s="82"/>
      <c r="C15" s="68" t="s">
        <v>50</v>
      </c>
      <c r="D15" s="82" t="s">
        <v>50</v>
      </c>
      <c r="E15" s="75"/>
      <c r="F15" s="114" t="s">
        <v>51</v>
      </c>
      <c r="G15" s="97">
        <v>0</v>
      </c>
      <c r="H15" s="96">
        <v>0</v>
      </c>
      <c r="I15" s="97">
        <v>0</v>
      </c>
      <c r="J15" s="98">
        <f>I15/I11</f>
        <v>0</v>
      </c>
      <c r="K15" s="116" t="str">
        <f t="shared" si="0"/>
        <v>會費支出：0</v>
      </c>
      <c r="L15" s="118"/>
      <c r="M15" s="118"/>
      <c r="N15" s="118"/>
    </row>
    <row r="16" spans="1:14" ht="15.75" customHeight="1">
      <c r="A16" s="68"/>
      <c r="B16" s="82"/>
      <c r="C16" s="68"/>
      <c r="D16" s="82"/>
      <c r="E16" s="75"/>
      <c r="F16" s="114"/>
      <c r="G16" s="97"/>
      <c r="H16" s="96"/>
      <c r="I16" s="97"/>
      <c r="J16" s="98"/>
      <c r="K16" s="54"/>
      <c r="L16" s="36"/>
      <c r="M16" s="36"/>
      <c r="N16" s="36"/>
    </row>
    <row r="17" spans="1:14" ht="15.75" customHeight="1">
      <c r="A17" s="99"/>
      <c r="B17" s="100" t="s">
        <v>48</v>
      </c>
      <c r="C17" s="101" t="s">
        <v>46</v>
      </c>
      <c r="D17" s="100" t="s">
        <v>46</v>
      </c>
      <c r="E17" s="102"/>
      <c r="F17" s="103" t="s">
        <v>17</v>
      </c>
      <c r="G17" s="106">
        <v>0</v>
      </c>
      <c r="H17" s="105">
        <f>G17/$G$9</f>
        <v>0</v>
      </c>
      <c r="I17" s="106">
        <f>'表3-2｜期出決算附屬表'!G33</f>
        <v>56943</v>
      </c>
      <c r="J17" s="107">
        <f>'表3-2｜期出決算附屬表'!H33</f>
        <v>5.6551100870964217E-2</v>
      </c>
      <c r="K17" s="108"/>
      <c r="L17" s="109"/>
      <c r="M17" s="109"/>
      <c r="N17" s="109"/>
    </row>
    <row r="18" spans="1:14" ht="15.75" customHeight="1">
      <c r="A18" s="68"/>
      <c r="B18" s="82"/>
      <c r="C18" s="68"/>
      <c r="D18" s="82"/>
      <c r="E18" s="75"/>
      <c r="F18" s="94"/>
      <c r="G18" s="97"/>
      <c r="H18" s="96"/>
      <c r="I18" s="97"/>
      <c r="J18" s="98"/>
      <c r="K18" s="54"/>
      <c r="L18" s="36"/>
      <c r="M18" s="36"/>
      <c r="N18" s="36"/>
    </row>
    <row r="19" spans="1:14" ht="15.75" customHeight="1">
      <c r="A19" s="68"/>
      <c r="B19" s="82"/>
      <c r="C19" s="68" t="s">
        <v>46</v>
      </c>
      <c r="D19" s="82" t="s">
        <v>45</v>
      </c>
      <c r="E19" s="75"/>
      <c r="F19" s="94" t="s">
        <v>47</v>
      </c>
      <c r="G19" s="97">
        <v>0</v>
      </c>
      <c r="H19" s="96">
        <v>0</v>
      </c>
      <c r="I19" s="97">
        <f>'表3-2｜期出決算附屬表'!G34</f>
        <v>53228</v>
      </c>
      <c r="J19" s="98">
        <f>I19/I17</f>
        <v>0.93475932072423296</v>
      </c>
      <c r="K19" s="116" t="str">
        <f t="shared" ref="K19:K20" si="1">"會費支出："&amp;(I19-G19)</f>
        <v>會費支出：53228</v>
      </c>
      <c r="L19" s="42"/>
      <c r="M19" s="42"/>
      <c r="N19" s="42"/>
    </row>
    <row r="20" spans="1:14" ht="15.75" customHeight="1">
      <c r="A20" s="68"/>
      <c r="B20" s="82"/>
      <c r="C20" s="68" t="s">
        <v>50</v>
      </c>
      <c r="D20" s="82" t="s">
        <v>50</v>
      </c>
      <c r="E20" s="75"/>
      <c r="F20" s="94" t="s">
        <v>51</v>
      </c>
      <c r="G20" s="97">
        <v>0</v>
      </c>
      <c r="H20" s="96">
        <v>0</v>
      </c>
      <c r="I20" s="97">
        <v>0</v>
      </c>
      <c r="J20" s="98">
        <f>I20/I17</f>
        <v>0</v>
      </c>
      <c r="K20" s="116" t="str">
        <f t="shared" si="1"/>
        <v>會費支出：0</v>
      </c>
      <c r="L20" s="36"/>
      <c r="M20" s="36"/>
      <c r="N20" s="36"/>
    </row>
    <row r="21" spans="1:14" ht="15.75" customHeight="1">
      <c r="A21" s="68"/>
      <c r="B21" s="82"/>
      <c r="C21" s="68"/>
      <c r="D21" s="82"/>
      <c r="E21" s="75"/>
      <c r="F21" s="94"/>
      <c r="G21" s="97"/>
      <c r="H21" s="96"/>
      <c r="I21" s="97"/>
      <c r="J21" s="98"/>
      <c r="K21" s="54"/>
      <c r="L21" s="36"/>
      <c r="M21" s="36"/>
      <c r="N21" s="36"/>
    </row>
    <row r="22" spans="1:14" ht="15.75" customHeight="1">
      <c r="A22" s="101"/>
      <c r="B22" s="100" t="s">
        <v>52</v>
      </c>
      <c r="C22" s="101" t="s">
        <v>46</v>
      </c>
      <c r="D22" s="100" t="s">
        <v>46</v>
      </c>
      <c r="E22" s="102"/>
      <c r="F22" s="103" t="s">
        <v>18</v>
      </c>
      <c r="G22" s="106">
        <f>'表3-1｜期入決算附屬表'!I27</f>
        <v>0</v>
      </c>
      <c r="H22" s="105">
        <f>G22/$G$9</f>
        <v>0</v>
      </c>
      <c r="I22" s="106">
        <f>'表3-2｜期出決算附屬表'!G52</f>
        <v>28050</v>
      </c>
      <c r="J22" s="107">
        <f>'表3-2｜期出決算附屬表'!H52</f>
        <v>2.7856951327301798E-2</v>
      </c>
      <c r="K22" s="108"/>
      <c r="L22" s="109"/>
      <c r="M22" s="109"/>
      <c r="N22" s="109"/>
    </row>
    <row r="23" spans="1:14" ht="15.75" customHeight="1">
      <c r="A23" s="68"/>
      <c r="B23" s="82"/>
      <c r="C23" s="68"/>
      <c r="D23" s="82"/>
      <c r="E23" s="75"/>
      <c r="F23" s="94"/>
      <c r="G23" s="97"/>
      <c r="H23" s="115"/>
      <c r="I23" s="119"/>
      <c r="J23" s="120"/>
      <c r="K23" s="54"/>
      <c r="L23" s="36"/>
      <c r="M23" s="36"/>
      <c r="N23" s="36"/>
    </row>
    <row r="24" spans="1:14" ht="15.75" customHeight="1">
      <c r="A24" s="68"/>
      <c r="B24" s="82"/>
      <c r="C24" s="68" t="s">
        <v>46</v>
      </c>
      <c r="D24" s="82" t="s">
        <v>45</v>
      </c>
      <c r="E24" s="75"/>
      <c r="F24" s="94" t="s">
        <v>47</v>
      </c>
      <c r="G24" s="97">
        <f>'表3-1｜期入決算附屬表'!I29</f>
        <v>0</v>
      </c>
      <c r="H24" s="115">
        <v>0</v>
      </c>
      <c r="I24" s="119">
        <f>'表3-2｜期出決算附屬表'!G53</f>
        <v>28050</v>
      </c>
      <c r="J24" s="120">
        <f>I24/I22</f>
        <v>1</v>
      </c>
      <c r="K24" s="116" t="str">
        <f t="shared" ref="K24:K25" si="2">"會費支出："&amp;(I24-G24)</f>
        <v>會費支出：28050</v>
      </c>
      <c r="L24" s="42"/>
      <c r="M24" s="42"/>
      <c r="N24" s="42"/>
    </row>
    <row r="25" spans="1:14" ht="15.75" customHeight="1">
      <c r="A25" s="68"/>
      <c r="B25" s="82"/>
      <c r="C25" s="68" t="s">
        <v>50</v>
      </c>
      <c r="D25" s="82" t="s">
        <v>50</v>
      </c>
      <c r="E25" s="75"/>
      <c r="F25" s="94" t="s">
        <v>51</v>
      </c>
      <c r="G25" s="97">
        <f>'表3-1｜期入決算附屬表'!I30</f>
        <v>0</v>
      </c>
      <c r="H25" s="115">
        <v>0</v>
      </c>
      <c r="I25" s="97">
        <v>0</v>
      </c>
      <c r="J25" s="98">
        <f>I25/I22</f>
        <v>0</v>
      </c>
      <c r="K25" s="116" t="str">
        <f t="shared" si="2"/>
        <v>會費支出：0</v>
      </c>
      <c r="L25" s="42"/>
      <c r="M25" s="42"/>
      <c r="N25" s="42"/>
    </row>
    <row r="26" spans="1:14" ht="15.75" customHeight="1">
      <c r="A26" s="68"/>
      <c r="B26" s="82"/>
      <c r="C26" s="68"/>
      <c r="D26" s="82"/>
      <c r="E26" s="75"/>
      <c r="F26" s="94"/>
      <c r="G26" s="97"/>
      <c r="H26" s="96"/>
      <c r="I26" s="119"/>
      <c r="J26" s="120"/>
      <c r="K26" s="54"/>
      <c r="L26" s="36"/>
      <c r="M26" s="36"/>
      <c r="N26" s="36"/>
    </row>
    <row r="27" spans="1:14" ht="15.75" customHeight="1">
      <c r="A27" s="101"/>
      <c r="B27" s="100" t="s">
        <v>53</v>
      </c>
      <c r="C27" s="101" t="s">
        <v>46</v>
      </c>
      <c r="D27" s="100" t="s">
        <v>46</v>
      </c>
      <c r="E27" s="102"/>
      <c r="F27" s="103" t="s">
        <v>19</v>
      </c>
      <c r="G27" s="106">
        <f>'表3-1｜期入決算附屬表'!G32</f>
        <v>109104</v>
      </c>
      <c r="H27" s="105">
        <f>G27/$G$9</f>
        <v>4.4722947195654283E-2</v>
      </c>
      <c r="I27" s="106">
        <f>SUM('表3-2｜期出決算附屬表'!G66)</f>
        <v>142954</v>
      </c>
      <c r="J27" s="107">
        <f>'表3-2｜期出決算附屬表'!H66</f>
        <v>0.14197014688210699</v>
      </c>
      <c r="K27" s="108"/>
      <c r="L27" s="109"/>
      <c r="M27" s="109"/>
      <c r="N27" s="109"/>
    </row>
    <row r="28" spans="1:14" ht="15.75" customHeight="1">
      <c r="A28" s="68"/>
      <c r="B28" s="82"/>
      <c r="C28" s="68"/>
      <c r="D28" s="82"/>
      <c r="E28" s="75"/>
      <c r="F28" s="94"/>
      <c r="G28" s="121"/>
      <c r="H28" s="96"/>
      <c r="I28" s="97"/>
      <c r="J28" s="98"/>
      <c r="K28" s="54"/>
      <c r="L28" s="36"/>
      <c r="M28" s="36"/>
      <c r="N28" s="36"/>
    </row>
    <row r="29" spans="1:14" ht="15.75" customHeight="1">
      <c r="A29" s="68"/>
      <c r="B29" s="82"/>
      <c r="C29" s="68" t="s">
        <v>46</v>
      </c>
      <c r="D29" s="82" t="s">
        <v>45</v>
      </c>
      <c r="E29" s="75"/>
      <c r="F29" s="94" t="s">
        <v>47</v>
      </c>
      <c r="G29" s="97">
        <f>'表3-1｜期入決算附屬表'!G34</f>
        <v>0</v>
      </c>
      <c r="H29" s="96">
        <v>0</v>
      </c>
      <c r="I29" s="97">
        <f>'表3-2｜期出決算附屬表'!G68</f>
        <v>22700</v>
      </c>
      <c r="J29" s="98">
        <f>'表3-2｜期出決算附屬表'!H68</f>
        <v>0.15879233879429747</v>
      </c>
      <c r="K29" s="116" t="str">
        <f t="shared" ref="K29:K31" si="3">"會費支出："&amp;(I29-G29)</f>
        <v>會費支出：22700</v>
      </c>
      <c r="L29" s="36"/>
      <c r="M29" s="36"/>
      <c r="N29" s="36"/>
    </row>
    <row r="30" spans="1:14" ht="15.75" customHeight="1">
      <c r="A30" s="68"/>
      <c r="B30" s="82"/>
      <c r="C30" s="68" t="s">
        <v>46</v>
      </c>
      <c r="D30" s="82" t="s">
        <v>48</v>
      </c>
      <c r="E30" s="75"/>
      <c r="F30" s="94" t="s">
        <v>54</v>
      </c>
      <c r="G30" s="97">
        <f>'表3-1｜期入決算附屬表'!G35</f>
        <v>109104</v>
      </c>
      <c r="H30" s="96">
        <v>1</v>
      </c>
      <c r="I30" s="97">
        <f>'表3-2｜期出決算附屬表'!G72</f>
        <v>109104</v>
      </c>
      <c r="J30" s="98">
        <f>'表3-2｜期出決算附屬表'!H72</f>
        <v>0.76321054325167537</v>
      </c>
      <c r="K30" s="116" t="str">
        <f t="shared" si="3"/>
        <v>會費支出：0</v>
      </c>
      <c r="L30" s="36"/>
      <c r="M30" s="36"/>
      <c r="N30" s="36"/>
    </row>
    <row r="31" spans="1:14" ht="15.75" customHeight="1">
      <c r="A31" s="68"/>
      <c r="B31" s="82"/>
      <c r="C31" s="68" t="s">
        <v>50</v>
      </c>
      <c r="D31" s="82" t="s">
        <v>50</v>
      </c>
      <c r="E31" s="75"/>
      <c r="F31" s="94" t="s">
        <v>51</v>
      </c>
      <c r="G31" s="97">
        <f>'表3-1｜期入決算附屬表'!G36</f>
        <v>0</v>
      </c>
      <c r="H31" s="96">
        <v>0</v>
      </c>
      <c r="I31" s="97">
        <f>'表3-2｜期出決算附屬表'!G76</f>
        <v>11150</v>
      </c>
      <c r="J31" s="98">
        <f>'表3-2｜期出決算附屬表'!H76</f>
        <v>7.7997117954027168E-2</v>
      </c>
      <c r="K31" s="116" t="str">
        <f t="shared" si="3"/>
        <v>會費支出：11150</v>
      </c>
      <c r="L31" s="36"/>
      <c r="M31" s="36"/>
      <c r="N31" s="36"/>
    </row>
    <row r="32" spans="1:14" ht="15.75" customHeight="1">
      <c r="A32" s="68"/>
      <c r="B32" s="82"/>
      <c r="C32" s="68"/>
      <c r="D32" s="82"/>
      <c r="E32" s="75"/>
      <c r="F32" s="94"/>
      <c r="G32" s="97"/>
      <c r="H32" s="96"/>
      <c r="I32" s="97"/>
      <c r="J32" s="98"/>
      <c r="K32" s="54"/>
      <c r="L32" s="36"/>
      <c r="M32" s="36"/>
      <c r="N32" s="36"/>
    </row>
    <row r="33" spans="1:14" ht="15.75" customHeight="1">
      <c r="A33" s="101"/>
      <c r="B33" s="100" t="s">
        <v>55</v>
      </c>
      <c r="C33" s="101" t="s">
        <v>46</v>
      </c>
      <c r="D33" s="100" t="s">
        <v>46</v>
      </c>
      <c r="E33" s="102"/>
      <c r="F33" s="103" t="s">
        <v>20</v>
      </c>
      <c r="G33" s="106">
        <v>0</v>
      </c>
      <c r="H33" s="105">
        <f>G33/$G$9</f>
        <v>0</v>
      </c>
      <c r="I33" s="106">
        <f>'表3-2｜期出決算附屬表'!G80</f>
        <v>116558</v>
      </c>
      <c r="J33" s="107">
        <f>'表3-2｜期出決算附屬表'!H80</f>
        <v>0.11575581222130635</v>
      </c>
      <c r="K33" s="108"/>
      <c r="L33" s="109"/>
      <c r="M33" s="109"/>
      <c r="N33" s="109"/>
    </row>
    <row r="34" spans="1:14" ht="15.75" customHeight="1">
      <c r="A34" s="68"/>
      <c r="B34" s="82"/>
      <c r="C34" s="68"/>
      <c r="D34" s="82"/>
      <c r="E34" s="75"/>
      <c r="F34" s="94"/>
      <c r="G34" s="97"/>
      <c r="H34" s="96"/>
      <c r="I34" s="97"/>
      <c r="J34" s="98"/>
      <c r="K34" s="54"/>
      <c r="L34" s="36"/>
      <c r="M34" s="36"/>
      <c r="N34" s="36"/>
    </row>
    <row r="35" spans="1:14" ht="15.75" customHeight="1">
      <c r="A35" s="68"/>
      <c r="B35" s="82"/>
      <c r="C35" s="68" t="s">
        <v>46</v>
      </c>
      <c r="D35" s="82" t="s">
        <v>45</v>
      </c>
      <c r="E35" s="75"/>
      <c r="F35" s="94" t="s">
        <v>47</v>
      </c>
      <c r="G35" s="97">
        <f>'表3-1｜期入決算附屬表'!I40</f>
        <v>0</v>
      </c>
      <c r="H35" s="96">
        <v>0</v>
      </c>
      <c r="I35" s="97">
        <f>'表3-2｜期出決算附屬表'!G82</f>
        <v>6000</v>
      </c>
      <c r="J35" s="98">
        <f>I35/I33</f>
        <v>5.1476518128313803E-2</v>
      </c>
      <c r="K35" s="116" t="str">
        <f>"會費支出："&amp;(I35-G35)</f>
        <v>會費支出：6000</v>
      </c>
      <c r="L35" s="42"/>
      <c r="M35" s="42"/>
      <c r="N35" s="42"/>
    </row>
    <row r="36" spans="1:14" ht="15.75" customHeight="1">
      <c r="A36" s="68"/>
      <c r="B36" s="82"/>
      <c r="C36" s="68"/>
      <c r="D36" s="82"/>
      <c r="E36" s="75"/>
      <c r="F36" s="94"/>
      <c r="G36" s="97"/>
      <c r="H36" s="96"/>
      <c r="I36" s="97"/>
      <c r="J36" s="98"/>
      <c r="K36" s="54"/>
      <c r="L36" s="36"/>
      <c r="M36" s="36"/>
      <c r="N36" s="36"/>
    </row>
    <row r="37" spans="1:14" ht="15.75" customHeight="1">
      <c r="A37" s="68"/>
      <c r="B37" s="82"/>
      <c r="C37" s="68" t="s">
        <v>45</v>
      </c>
      <c r="D37" s="82" t="s">
        <v>46</v>
      </c>
      <c r="E37" s="75"/>
      <c r="F37" s="94" t="s">
        <v>56</v>
      </c>
      <c r="G37" s="97">
        <f>'表3-1｜期入決算附屬表'!G42</f>
        <v>0</v>
      </c>
      <c r="H37" s="115">
        <f>'表3-1｜期入決算附屬表'!H42</f>
        <v>0</v>
      </c>
      <c r="I37" s="97">
        <f>'表3-2｜期出決算附屬表'!G85</f>
        <v>33400</v>
      </c>
      <c r="J37" s="115">
        <f>'表3-2｜期出決算附屬表'!H85</f>
        <v>0.2865526175809468</v>
      </c>
      <c r="K37" s="56"/>
      <c r="L37" s="42"/>
      <c r="M37" s="42"/>
      <c r="N37" s="42"/>
    </row>
    <row r="38" spans="1:14" ht="15.75" customHeight="1">
      <c r="A38" s="68"/>
      <c r="B38" s="82"/>
      <c r="C38" s="68"/>
      <c r="D38" s="82" t="s">
        <v>45</v>
      </c>
      <c r="E38" s="75"/>
      <c r="F38" s="94" t="s">
        <v>47</v>
      </c>
      <c r="G38" s="97">
        <f>'表3-1｜期入決算附屬表'!G43</f>
        <v>0</v>
      </c>
      <c r="H38" s="115">
        <f>'表3-1｜期入決算附屬表'!H43</f>
        <v>0</v>
      </c>
      <c r="I38" s="97">
        <f>'表3-2｜期出決算附屬表'!G86</f>
        <v>0</v>
      </c>
      <c r="J38" s="115">
        <f>'表3-2｜期出決算附屬表'!H86</f>
        <v>0</v>
      </c>
      <c r="K38" s="116" t="str">
        <f t="shared" ref="K38:K43" si="4">"會費支出："&amp;(I38-G38)</f>
        <v>會費支出：0</v>
      </c>
      <c r="L38" s="42"/>
      <c r="M38" s="42"/>
      <c r="N38" s="42"/>
    </row>
    <row r="39" spans="1:14" ht="15.75" customHeight="1">
      <c r="A39" s="68"/>
      <c r="B39" s="82"/>
      <c r="C39" s="68"/>
      <c r="D39" s="82" t="s">
        <v>48</v>
      </c>
      <c r="E39" s="75"/>
      <c r="F39" s="94" t="s">
        <v>57</v>
      </c>
      <c r="G39" s="97">
        <f>'表3-1｜期入決算附屬表'!G44</f>
        <v>0</v>
      </c>
      <c r="H39" s="115">
        <f>'表3-1｜期入決算附屬表'!H44</f>
        <v>0</v>
      </c>
      <c r="I39" s="97">
        <f>'表3-2｜期出決算附屬表'!G89</f>
        <v>1600</v>
      </c>
      <c r="J39" s="115">
        <f>'表3-2｜期出決算附屬表'!H89</f>
        <v>4.790419161676647E-2</v>
      </c>
      <c r="K39" s="116" t="str">
        <f t="shared" si="4"/>
        <v>會費支出：1600</v>
      </c>
      <c r="L39" s="42"/>
      <c r="M39" s="42"/>
      <c r="N39" s="42"/>
    </row>
    <row r="40" spans="1:14" ht="15.75" customHeight="1">
      <c r="A40" s="68"/>
      <c r="B40" s="82"/>
      <c r="C40" s="68"/>
      <c r="D40" s="82" t="s">
        <v>52</v>
      </c>
      <c r="E40" s="75"/>
      <c r="F40" s="94" t="s">
        <v>58</v>
      </c>
      <c r="G40" s="97">
        <f>'表3-1｜期入決算附屬表'!G45</f>
        <v>0</v>
      </c>
      <c r="H40" s="115">
        <f>'表3-1｜期入決算附屬表'!H45</f>
        <v>0</v>
      </c>
      <c r="I40" s="97">
        <f>'表3-2｜期出決算附屬表'!G93</f>
        <v>3400</v>
      </c>
      <c r="J40" s="115">
        <f>'表3-2｜期出決算附屬表'!H93</f>
        <v>0.10179640718562874</v>
      </c>
      <c r="K40" s="116" t="str">
        <f t="shared" si="4"/>
        <v>會費支出：3400</v>
      </c>
      <c r="L40" s="42"/>
      <c r="M40" s="42"/>
      <c r="N40" s="42"/>
    </row>
    <row r="41" spans="1:14" ht="15.75" customHeight="1">
      <c r="A41" s="68"/>
      <c r="B41" s="82"/>
      <c r="C41" s="68"/>
      <c r="D41" s="82" t="s">
        <v>53</v>
      </c>
      <c r="E41" s="75"/>
      <c r="F41" s="94" t="s">
        <v>59</v>
      </c>
      <c r="G41" s="97">
        <f>'表3-1｜期入決算附屬表'!G46</f>
        <v>0</v>
      </c>
      <c r="H41" s="115">
        <f>'表3-1｜期入決算附屬表'!H46</f>
        <v>0</v>
      </c>
      <c r="I41" s="97">
        <f>'表3-2｜期出決算附屬表'!G97</f>
        <v>10300</v>
      </c>
      <c r="J41" s="115">
        <f>'表3-2｜期出決算附屬表'!H97</f>
        <v>0.30838323353293412</v>
      </c>
      <c r="K41" s="116" t="str">
        <f t="shared" si="4"/>
        <v>會費支出：10300</v>
      </c>
      <c r="L41" s="42"/>
      <c r="M41" s="42"/>
      <c r="N41" s="42"/>
    </row>
    <row r="42" spans="1:14" ht="15.75" customHeight="1">
      <c r="A42" s="68"/>
      <c r="B42" s="82"/>
      <c r="C42" s="68"/>
      <c r="D42" s="82" t="s">
        <v>55</v>
      </c>
      <c r="E42" s="75"/>
      <c r="F42" s="94" t="s">
        <v>60</v>
      </c>
      <c r="G42" s="97">
        <f>'表3-1｜期入決算附屬表'!G47</f>
        <v>0</v>
      </c>
      <c r="H42" s="115">
        <f>'表3-1｜期入決算附屬表'!H47</f>
        <v>0</v>
      </c>
      <c r="I42" s="97">
        <f>'表3-2｜期出決算附屬表'!G108</f>
        <v>10000</v>
      </c>
      <c r="J42" s="115">
        <f>'表3-2｜期出決算附屬表'!H108</f>
        <v>0.29940119760479039</v>
      </c>
      <c r="K42" s="116" t="str">
        <f t="shared" si="4"/>
        <v>會費支出：10000</v>
      </c>
      <c r="L42" s="42"/>
      <c r="M42" s="42"/>
      <c r="N42" s="42"/>
    </row>
    <row r="43" spans="1:14" ht="15.75" customHeight="1">
      <c r="A43" s="68"/>
      <c r="B43" s="82"/>
      <c r="C43" s="68"/>
      <c r="D43" s="82" t="s">
        <v>61</v>
      </c>
      <c r="E43" s="75"/>
      <c r="F43" s="94" t="s">
        <v>62</v>
      </c>
      <c r="G43" s="97">
        <f>'表3-1｜期入決算附屬表'!G48</f>
        <v>0</v>
      </c>
      <c r="H43" s="115">
        <f>'表3-1｜期入決算附屬表'!H48</f>
        <v>0</v>
      </c>
      <c r="I43" s="97">
        <f>'表3-2｜期出決算附屬表'!G112</f>
        <v>8100</v>
      </c>
      <c r="J43" s="115">
        <f>'表3-2｜期出決算附屬表'!H112</f>
        <v>0.24251497005988024</v>
      </c>
      <c r="K43" s="116" t="str">
        <f t="shared" si="4"/>
        <v>會費支出：8100</v>
      </c>
      <c r="L43" s="42"/>
      <c r="M43" s="42"/>
      <c r="N43" s="42"/>
    </row>
    <row r="44" spans="1:14" ht="15.75" customHeight="1">
      <c r="A44" s="68"/>
      <c r="B44" s="82"/>
      <c r="C44" s="68"/>
      <c r="D44" s="82"/>
      <c r="E44" s="75"/>
      <c r="F44" s="94"/>
      <c r="G44" s="97"/>
      <c r="H44" s="96"/>
      <c r="I44" s="97"/>
      <c r="J44" s="98"/>
      <c r="K44" s="56"/>
      <c r="L44" s="42"/>
      <c r="M44" s="42"/>
      <c r="N44" s="42"/>
    </row>
    <row r="45" spans="1:14" ht="15.75" customHeight="1">
      <c r="A45" s="68"/>
      <c r="B45" s="82"/>
      <c r="C45" s="68" t="s">
        <v>48</v>
      </c>
      <c r="D45" s="82" t="s">
        <v>46</v>
      </c>
      <c r="E45" s="75"/>
      <c r="F45" s="94" t="s">
        <v>63</v>
      </c>
      <c r="G45" s="97">
        <f>'表3-1｜期入決算附屬表'!G50</f>
        <v>0</v>
      </c>
      <c r="H45" s="115">
        <f>'表3-1｜期入決算附屬表'!H50</f>
        <v>0</v>
      </c>
      <c r="I45" s="97">
        <f>'表3-2｜期出決算附屬表'!G120</f>
        <v>13312</v>
      </c>
      <c r="J45" s="115">
        <f>'表3-2｜期出決算附屬表'!H120</f>
        <v>0.11420923488735223</v>
      </c>
      <c r="K45" s="56"/>
      <c r="L45" s="42"/>
      <c r="M45" s="42"/>
      <c r="N45" s="42"/>
    </row>
    <row r="46" spans="1:14" ht="15.75" customHeight="1">
      <c r="A46" s="68"/>
      <c r="B46" s="82"/>
      <c r="C46" s="68"/>
      <c r="D46" s="82" t="s">
        <v>45</v>
      </c>
      <c r="E46" s="75"/>
      <c r="F46" s="94" t="s">
        <v>47</v>
      </c>
      <c r="G46" s="97">
        <f>'表3-1｜期入決算附屬表'!G51</f>
        <v>0</v>
      </c>
      <c r="H46" s="115">
        <f>'表3-1｜期入決算附屬表'!H51</f>
        <v>0</v>
      </c>
      <c r="I46" s="97">
        <f>'表3-2｜期出決算附屬表'!G121</f>
        <v>0</v>
      </c>
      <c r="J46" s="115">
        <f>'表3-2｜期出決算附屬表'!H121</f>
        <v>0</v>
      </c>
      <c r="K46" s="116" t="str">
        <f t="shared" ref="K46:K48" si="5">"會費支出："&amp;(I46-G46)</f>
        <v>會費支出：0</v>
      </c>
      <c r="L46" s="42"/>
      <c r="M46" s="42"/>
      <c r="N46" s="42"/>
    </row>
    <row r="47" spans="1:14" ht="15.75" customHeight="1">
      <c r="A47" s="68"/>
      <c r="B47" s="82"/>
      <c r="C47" s="68"/>
      <c r="D47" s="82" t="s">
        <v>48</v>
      </c>
      <c r="E47" s="75"/>
      <c r="F47" s="94" t="s">
        <v>64</v>
      </c>
      <c r="G47" s="97">
        <f>'表3-1｜期入決算附屬表'!G52</f>
        <v>0</v>
      </c>
      <c r="H47" s="115">
        <f>'表3-1｜期入決算附屬表'!H52</f>
        <v>0</v>
      </c>
      <c r="I47" s="97">
        <f>'表3-2｜期出決算附屬表'!G123</f>
        <v>3152</v>
      </c>
      <c r="J47" s="115">
        <f>'表3-2｜期出決算附屬表'!H123</f>
        <v>0.23677884615384615</v>
      </c>
      <c r="K47" s="116" t="str">
        <f t="shared" si="5"/>
        <v>會費支出：3152</v>
      </c>
      <c r="L47" s="42"/>
      <c r="M47" s="42"/>
      <c r="N47" s="42"/>
    </row>
    <row r="48" spans="1:14" ht="15.75" customHeight="1">
      <c r="A48" s="68"/>
      <c r="B48" s="82"/>
      <c r="C48" s="68"/>
      <c r="D48" s="82" t="s">
        <v>52</v>
      </c>
      <c r="E48" s="75"/>
      <c r="F48" s="94" t="s">
        <v>65</v>
      </c>
      <c r="G48" s="97">
        <f>'表3-1｜期入決算附屬表'!G53</f>
        <v>0</v>
      </c>
      <c r="H48" s="115">
        <f>'表3-1｜期入決算附屬表'!H53</f>
        <v>0</v>
      </c>
      <c r="I48" s="97">
        <f>'表3-2｜期出決算附屬表'!G129</f>
        <v>10160</v>
      </c>
      <c r="J48" s="115">
        <f>'表3-2｜期出決算附屬表'!H129</f>
        <v>0.76322115384615385</v>
      </c>
      <c r="K48" s="116" t="str">
        <f t="shared" si="5"/>
        <v>會費支出：10160</v>
      </c>
      <c r="L48" s="42"/>
      <c r="M48" s="42"/>
      <c r="N48" s="42"/>
    </row>
    <row r="49" spans="1:14" ht="15.75" customHeight="1">
      <c r="A49" s="68"/>
      <c r="B49" s="82"/>
      <c r="C49" s="68"/>
      <c r="D49" s="82"/>
      <c r="E49" s="75"/>
      <c r="F49" s="94"/>
      <c r="G49" s="97">
        <f>'表3-1｜期入決算附屬表'!G54</f>
        <v>0</v>
      </c>
      <c r="H49" s="115">
        <f>'表3-1｜期入決算附屬表'!H54</f>
        <v>0</v>
      </c>
      <c r="I49" s="97"/>
      <c r="J49" s="98"/>
      <c r="K49" s="56"/>
      <c r="L49" s="42"/>
      <c r="M49" s="42"/>
      <c r="N49" s="42"/>
    </row>
    <row r="50" spans="1:14" ht="15.75" customHeight="1">
      <c r="A50" s="68"/>
      <c r="B50" s="82"/>
      <c r="C50" s="68" t="s">
        <v>52</v>
      </c>
      <c r="D50" s="82" t="s">
        <v>46</v>
      </c>
      <c r="E50" s="75"/>
      <c r="F50" s="94" t="s">
        <v>66</v>
      </c>
      <c r="G50" s="97">
        <f>'表3-1｜期入決算附屬表'!G55</f>
        <v>0</v>
      </c>
      <c r="H50" s="115">
        <f>'表3-1｜期入決算附屬表'!H55</f>
        <v>0</v>
      </c>
      <c r="I50" s="97">
        <f>'表3-2｜期出決算附屬表'!G139</f>
        <v>22400</v>
      </c>
      <c r="J50" s="115">
        <f>'表3-2｜期出決算附屬表'!H139</f>
        <v>0.19217900101237154</v>
      </c>
      <c r="K50" s="56"/>
      <c r="L50" s="42"/>
      <c r="M50" s="42"/>
      <c r="N50" s="42"/>
    </row>
    <row r="51" spans="1:14" ht="15.75" customHeight="1">
      <c r="A51" s="68"/>
      <c r="B51" s="82"/>
      <c r="C51" s="68"/>
      <c r="D51" s="82" t="s">
        <v>45</v>
      </c>
      <c r="E51" s="75"/>
      <c r="F51" s="94" t="s">
        <v>47</v>
      </c>
      <c r="G51" s="97">
        <f>'表3-1｜期入決算附屬表'!G56</f>
        <v>0</v>
      </c>
      <c r="H51" s="115">
        <f>'表3-1｜期入決算附屬表'!H56</f>
        <v>0</v>
      </c>
      <c r="I51" s="97">
        <f>'表3-2｜期出決算附屬表'!G140</f>
        <v>2000</v>
      </c>
      <c r="J51" s="115">
        <f>'表3-2｜期出決算附屬表'!H140</f>
        <v>8.9285714285714288E-2</v>
      </c>
      <c r="K51" s="116" t="str">
        <f t="shared" ref="K51:K52" si="6">"會費支出："&amp;(I51-G51)</f>
        <v>會費支出：2000</v>
      </c>
      <c r="L51" s="42"/>
      <c r="M51" s="42"/>
      <c r="N51" s="42"/>
    </row>
    <row r="52" spans="1:14" ht="15.75" customHeight="1">
      <c r="A52" s="68"/>
      <c r="B52" s="82"/>
      <c r="C52" s="68"/>
      <c r="D52" s="82" t="s">
        <v>48</v>
      </c>
      <c r="E52" s="75"/>
      <c r="F52" s="94" t="s">
        <v>67</v>
      </c>
      <c r="G52" s="97">
        <f>'表3-1｜期入決算附屬表'!G57</f>
        <v>0</v>
      </c>
      <c r="H52" s="115">
        <f>'表3-1｜期入決算附屬表'!H57</f>
        <v>0</v>
      </c>
      <c r="I52" s="97">
        <f>'表3-2｜期出決算附屬表'!G142</f>
        <v>20400</v>
      </c>
      <c r="J52" s="115">
        <f>'表3-2｜期出決算附屬表'!H142</f>
        <v>0.9107142857142857</v>
      </c>
      <c r="K52" s="116" t="str">
        <f t="shared" si="6"/>
        <v>會費支出：20400</v>
      </c>
      <c r="L52" s="42"/>
      <c r="M52" s="42"/>
      <c r="N52" s="42"/>
    </row>
    <row r="53" spans="1:14" ht="15.75" customHeight="1">
      <c r="A53" s="68"/>
      <c r="B53" s="82"/>
      <c r="C53" s="68"/>
      <c r="D53" s="82"/>
      <c r="E53" s="75"/>
      <c r="F53" s="94"/>
      <c r="G53" s="97"/>
      <c r="H53" s="96"/>
      <c r="I53" s="97"/>
      <c r="J53" s="98"/>
      <c r="K53" s="56"/>
      <c r="L53" s="42"/>
      <c r="M53" s="42"/>
      <c r="N53" s="42"/>
    </row>
    <row r="54" spans="1:14" ht="15.75" customHeight="1">
      <c r="A54" s="68"/>
      <c r="B54" s="82"/>
      <c r="C54" s="68" t="s">
        <v>53</v>
      </c>
      <c r="D54" s="82" t="s">
        <v>46</v>
      </c>
      <c r="E54" s="75"/>
      <c r="F54" s="94" t="s">
        <v>68</v>
      </c>
      <c r="G54" s="97">
        <f>'表3-1｜期入決算附屬表'!G60</f>
        <v>0</v>
      </c>
      <c r="H54" s="115">
        <f>'表3-1｜期入決算附屬表'!H60</f>
        <v>0</v>
      </c>
      <c r="I54" s="97">
        <f>'表3-2｜期出決算附屬表'!G151</f>
        <v>33100</v>
      </c>
      <c r="J54" s="115">
        <f>'表3-2｜期出決算附屬表'!H151</f>
        <v>0.28397879167453116</v>
      </c>
      <c r="K54" s="56"/>
      <c r="L54" s="42"/>
      <c r="M54" s="42"/>
      <c r="N54" s="42"/>
    </row>
    <row r="55" spans="1:14" ht="15.75" customHeight="1">
      <c r="A55" s="68"/>
      <c r="B55" s="82"/>
      <c r="C55" s="68"/>
      <c r="D55" s="82" t="s">
        <v>45</v>
      </c>
      <c r="E55" s="75"/>
      <c r="F55" s="94" t="s">
        <v>47</v>
      </c>
      <c r="G55" s="97">
        <f>'表3-1｜期入決算附屬表'!G61</f>
        <v>0</v>
      </c>
      <c r="H55" s="115">
        <f>'表3-1｜期入決算附屬表'!H61</f>
        <v>0</v>
      </c>
      <c r="I55" s="97">
        <f>'表3-2｜期出決算附屬表'!G152</f>
        <v>3000</v>
      </c>
      <c r="J55" s="115">
        <f>'表3-2｜期出決算附屬表'!H152</f>
        <v>9.0634441087613288E-2</v>
      </c>
      <c r="K55" s="116" t="str">
        <f t="shared" ref="K55:K60" si="7">"會費支出："&amp;(I55-G55)</f>
        <v>會費支出：3000</v>
      </c>
      <c r="L55" s="36"/>
      <c r="M55" s="36"/>
      <c r="N55" s="36"/>
    </row>
    <row r="56" spans="1:14" ht="15.75" customHeight="1">
      <c r="A56" s="68"/>
      <c r="B56" s="82"/>
      <c r="C56" s="68"/>
      <c r="D56" s="82" t="s">
        <v>48</v>
      </c>
      <c r="E56" s="75"/>
      <c r="F56" s="94" t="s">
        <v>69</v>
      </c>
      <c r="G56" s="97">
        <f>'表3-1｜期入決算附屬表'!G62</f>
        <v>0</v>
      </c>
      <c r="H56" s="115">
        <f>'表3-1｜期入決算附屬表'!H62</f>
        <v>0</v>
      </c>
      <c r="I56" s="97">
        <f>'表3-2｜期出決算附屬表'!G154</f>
        <v>4200</v>
      </c>
      <c r="J56" s="115">
        <f>'表3-2｜期出決算附屬表'!H154</f>
        <v>0.12688821752265861</v>
      </c>
      <c r="K56" s="116" t="str">
        <f t="shared" si="7"/>
        <v>會費支出：4200</v>
      </c>
      <c r="L56" s="36"/>
      <c r="M56" s="36"/>
      <c r="N56" s="36"/>
    </row>
    <row r="57" spans="1:14" ht="15.75" customHeight="1">
      <c r="A57" s="68"/>
      <c r="B57" s="82"/>
      <c r="C57" s="68"/>
      <c r="D57" s="82" t="s">
        <v>52</v>
      </c>
      <c r="E57" s="75"/>
      <c r="F57" s="94" t="s">
        <v>70</v>
      </c>
      <c r="G57" s="97">
        <f>'表3-1｜期入決算附屬表'!G63</f>
        <v>0</v>
      </c>
      <c r="H57" s="115">
        <f>'表3-1｜期入決算附屬表'!H63</f>
        <v>0</v>
      </c>
      <c r="I57" s="97">
        <f>'表3-2｜期出決算附屬表'!G160</f>
        <v>0</v>
      </c>
      <c r="J57" s="115">
        <f>'表3-2｜期出決算附屬表'!H160</f>
        <v>0</v>
      </c>
      <c r="K57" s="116" t="str">
        <f t="shared" si="7"/>
        <v>會費支出：0</v>
      </c>
      <c r="L57" s="36"/>
      <c r="M57" s="36"/>
      <c r="N57" s="36"/>
    </row>
    <row r="58" spans="1:14" ht="15.75" customHeight="1">
      <c r="A58" s="68"/>
      <c r="B58" s="82"/>
      <c r="C58" s="68"/>
      <c r="D58" s="82" t="s">
        <v>53</v>
      </c>
      <c r="E58" s="75"/>
      <c r="F58" s="94" t="s">
        <v>71</v>
      </c>
      <c r="G58" s="97">
        <f>'表3-1｜期入決算附屬表'!G64</f>
        <v>0</v>
      </c>
      <c r="H58" s="115">
        <f>'表3-1｜期入決算附屬表'!H64</f>
        <v>0</v>
      </c>
      <c r="I58" s="97">
        <f>'表3-2｜期出決算附屬表'!G165</f>
        <v>5600</v>
      </c>
      <c r="J58" s="115">
        <f>'表3-2｜期出決算附屬表'!H165</f>
        <v>0.16918429003021149</v>
      </c>
      <c r="K58" s="116" t="str">
        <f t="shared" si="7"/>
        <v>會費支出：5600</v>
      </c>
      <c r="L58" s="36"/>
      <c r="M58" s="36"/>
      <c r="N58" s="36"/>
    </row>
    <row r="59" spans="1:14" ht="15.75" customHeight="1">
      <c r="A59" s="68"/>
      <c r="B59" s="82"/>
      <c r="C59" s="68"/>
      <c r="D59" s="82" t="s">
        <v>55</v>
      </c>
      <c r="E59" s="75"/>
      <c r="F59" s="94" t="s">
        <v>72</v>
      </c>
      <c r="G59" s="97">
        <f>'表3-1｜期入決算附屬表'!G65</f>
        <v>0</v>
      </c>
      <c r="H59" s="115">
        <f>'表3-1｜期入決算附屬表'!H65</f>
        <v>0</v>
      </c>
      <c r="I59" s="97">
        <f>'表3-2｜期出決算附屬表'!G169</f>
        <v>20300</v>
      </c>
      <c r="J59" s="115">
        <f>'表3-2｜期出決算附屬表'!H169</f>
        <v>0.61329305135951662</v>
      </c>
      <c r="K59" s="116" t="str">
        <f t="shared" si="7"/>
        <v>會費支出：20300</v>
      </c>
      <c r="L59" s="36"/>
      <c r="M59" s="36"/>
      <c r="N59" s="36"/>
    </row>
    <row r="60" spans="1:14" ht="15.75" customHeight="1">
      <c r="A60" s="68"/>
      <c r="B60" s="82"/>
      <c r="C60" s="68" t="s">
        <v>50</v>
      </c>
      <c r="D60" s="82" t="s">
        <v>50</v>
      </c>
      <c r="E60" s="75"/>
      <c r="F60" s="94" t="s">
        <v>51</v>
      </c>
      <c r="G60" s="97">
        <f>'表3-1｜期入決算附屬表'!G67</f>
        <v>0</v>
      </c>
      <c r="H60" s="115">
        <f>'表3-1｜期入決算附屬表'!H67</f>
        <v>0</v>
      </c>
      <c r="I60" s="97">
        <f>'表3-2｜期出決算附屬表'!G175</f>
        <v>8346</v>
      </c>
      <c r="J60" s="115">
        <f>'表3-2｜期出決算附屬表'!H175</f>
        <v>7.1603836716484501E-2</v>
      </c>
      <c r="K60" s="116" t="str">
        <f t="shared" si="7"/>
        <v>會費支出：8346</v>
      </c>
      <c r="L60" s="36"/>
      <c r="M60" s="36"/>
      <c r="N60" s="36"/>
    </row>
    <row r="61" spans="1:14" ht="15.75" customHeight="1">
      <c r="A61" s="68"/>
      <c r="B61" s="82"/>
      <c r="C61" s="68"/>
      <c r="D61" s="82"/>
      <c r="E61" s="75"/>
      <c r="F61" s="94"/>
      <c r="G61" s="97"/>
      <c r="H61" s="96"/>
      <c r="I61" s="97"/>
      <c r="J61" s="98"/>
      <c r="K61" s="54"/>
      <c r="L61" s="36"/>
      <c r="M61" s="36"/>
      <c r="N61" s="36"/>
    </row>
    <row r="62" spans="1:14" ht="15.75" customHeight="1">
      <c r="A62" s="101"/>
      <c r="B62" s="100" t="s">
        <v>61</v>
      </c>
      <c r="C62" s="101" t="s">
        <v>46</v>
      </c>
      <c r="D62" s="100" t="s">
        <v>46</v>
      </c>
      <c r="E62" s="102"/>
      <c r="F62" s="103" t="s">
        <v>21</v>
      </c>
      <c r="G62" s="106">
        <f>'表3-1｜期入決算附屬表'!G69</f>
        <v>103768</v>
      </c>
      <c r="H62" s="105">
        <f>G62/$G$9</f>
        <v>4.2535661246138126E-2</v>
      </c>
      <c r="I62" s="106">
        <f>'表3-2｜期出決算附屬表'!G179</f>
        <v>213117</v>
      </c>
      <c r="J62" s="107">
        <f>'表3-2｜期出決算附屬表'!H179</f>
        <v>0.21165026367274786</v>
      </c>
      <c r="K62" s="108"/>
      <c r="L62" s="109"/>
      <c r="M62" s="109"/>
      <c r="N62" s="109"/>
    </row>
    <row r="63" spans="1:14" ht="15.75" customHeight="1">
      <c r="A63" s="68"/>
      <c r="B63" s="82"/>
      <c r="C63" s="68"/>
      <c r="D63" s="82"/>
      <c r="E63" s="75"/>
      <c r="F63" s="94"/>
      <c r="G63" s="97"/>
      <c r="H63" s="96"/>
      <c r="I63" s="97"/>
      <c r="J63" s="98"/>
      <c r="K63" s="54"/>
      <c r="L63" s="36"/>
      <c r="M63" s="36"/>
      <c r="N63" s="36"/>
    </row>
    <row r="64" spans="1:14" ht="15.75" customHeight="1">
      <c r="A64" s="68"/>
      <c r="B64" s="82"/>
      <c r="C64" s="68" t="s">
        <v>46</v>
      </c>
      <c r="D64" s="82" t="s">
        <v>45</v>
      </c>
      <c r="E64" s="75"/>
      <c r="F64" s="122" t="s">
        <v>73</v>
      </c>
      <c r="G64" s="97">
        <v>0</v>
      </c>
      <c r="H64" s="96">
        <v>0</v>
      </c>
      <c r="I64" s="97">
        <f>'表3-2｜期出決算附屬表'!G180</f>
        <v>3000</v>
      </c>
      <c r="J64" s="115">
        <f>'表3-2｜期出決算附屬表'!H180</f>
        <v>1.4076774729374006E-2</v>
      </c>
      <c r="K64" s="116" t="str">
        <f t="shared" ref="K64:K68" si="8">"會費支出："&amp;(I64-G64)</f>
        <v>會費支出：3000</v>
      </c>
      <c r="L64" s="117"/>
      <c r="M64" s="117"/>
      <c r="N64" s="117"/>
    </row>
    <row r="65" spans="1:14" ht="15.75" customHeight="1">
      <c r="A65" s="68"/>
      <c r="B65" s="82"/>
      <c r="C65" s="68"/>
      <c r="D65" s="82" t="s">
        <v>48</v>
      </c>
      <c r="E65" s="75"/>
      <c r="F65" s="94" t="s">
        <v>74</v>
      </c>
      <c r="G65" s="97">
        <f>'表3-1｜期入決算附屬表'!G72</f>
        <v>103768</v>
      </c>
      <c r="H65" s="115">
        <f>'表3-1｜期入決算附屬表'!H72</f>
        <v>1</v>
      </c>
      <c r="I65" s="97">
        <f>'表3-2｜期出決算附屬表'!G183</f>
        <v>51942</v>
      </c>
      <c r="J65" s="115">
        <f>'表3-2｜期出決算附屬表'!H183</f>
        <v>0.24372527766438154</v>
      </c>
      <c r="K65" s="116" t="str">
        <f t="shared" si="8"/>
        <v>會費支出：-51826</v>
      </c>
      <c r="L65" s="117"/>
      <c r="M65" s="117"/>
      <c r="N65" s="117"/>
    </row>
    <row r="66" spans="1:14" ht="15.75" customHeight="1">
      <c r="A66" s="68"/>
      <c r="B66" s="82"/>
      <c r="C66" s="68"/>
      <c r="D66" s="82" t="s">
        <v>52</v>
      </c>
      <c r="E66" s="75"/>
      <c r="F66" s="94" t="s">
        <v>75</v>
      </c>
      <c r="G66" s="97">
        <f>'表3-1｜期入決算附屬表'!G75</f>
        <v>0</v>
      </c>
      <c r="H66" s="115">
        <f>'表3-1｜期入決算附屬表'!H75</f>
        <v>0</v>
      </c>
      <c r="I66" s="97">
        <f>'表3-2｜期出決算附屬表'!G193</f>
        <v>106687</v>
      </c>
      <c r="J66" s="115">
        <f>'表3-2｜期出決算附屬表'!H193</f>
        <v>0.50060295518424147</v>
      </c>
      <c r="K66" s="116" t="str">
        <f t="shared" si="8"/>
        <v>會費支出：106687</v>
      </c>
      <c r="L66" s="117"/>
      <c r="M66" s="117"/>
      <c r="N66" s="117"/>
    </row>
    <row r="67" spans="1:14" ht="15.75" customHeight="1">
      <c r="A67" s="68"/>
      <c r="B67" s="82"/>
      <c r="C67" s="68"/>
      <c r="D67" s="82" t="s">
        <v>53</v>
      </c>
      <c r="E67" s="75"/>
      <c r="F67" s="94" t="s">
        <v>76</v>
      </c>
      <c r="G67" s="97">
        <f>'表3-1｜期入決算附屬表'!G76</f>
        <v>0</v>
      </c>
      <c r="H67" s="115">
        <f>'表3-1｜期入決算附屬表'!H76</f>
        <v>0</v>
      </c>
      <c r="I67" s="97">
        <f>'表3-2｜期出決算附屬表'!G205</f>
        <v>40300</v>
      </c>
      <c r="J67" s="115">
        <f>'表3-2｜期出決算附屬表'!H205</f>
        <v>0.18909800719792413</v>
      </c>
      <c r="K67" s="116" t="str">
        <f t="shared" si="8"/>
        <v>會費支出：40300</v>
      </c>
      <c r="L67" s="117"/>
      <c r="M67" s="117"/>
      <c r="N67" s="117"/>
    </row>
    <row r="68" spans="1:14" ht="15.75" customHeight="1">
      <c r="A68" s="68"/>
      <c r="B68" s="82"/>
      <c r="C68" s="68" t="s">
        <v>50</v>
      </c>
      <c r="D68" s="82" t="s">
        <v>50</v>
      </c>
      <c r="E68" s="75"/>
      <c r="F68" s="94" t="s">
        <v>51</v>
      </c>
      <c r="G68" s="97">
        <v>0</v>
      </c>
      <c r="H68" s="96">
        <v>0</v>
      </c>
      <c r="I68" s="97">
        <v>0</v>
      </c>
      <c r="J68" s="96">
        <v>0</v>
      </c>
      <c r="K68" s="116" t="str">
        <f t="shared" si="8"/>
        <v>會費支出：0</v>
      </c>
      <c r="L68" s="36"/>
      <c r="M68" s="36"/>
      <c r="N68" s="36"/>
    </row>
    <row r="69" spans="1:14" ht="15.75" customHeight="1">
      <c r="A69" s="68"/>
      <c r="B69" s="82"/>
      <c r="C69" s="68"/>
      <c r="D69" s="82"/>
      <c r="E69" s="75"/>
      <c r="F69" s="94"/>
      <c r="G69" s="97"/>
      <c r="H69" s="96"/>
      <c r="I69" s="97"/>
      <c r="J69" s="98"/>
      <c r="K69" s="54"/>
      <c r="L69" s="36"/>
      <c r="M69" s="36"/>
      <c r="N69" s="36"/>
    </row>
    <row r="70" spans="1:14" ht="15.75" customHeight="1">
      <c r="A70" s="101"/>
      <c r="B70" s="100" t="s">
        <v>77</v>
      </c>
      <c r="C70" s="101" t="s">
        <v>46</v>
      </c>
      <c r="D70" s="100" t="s">
        <v>46</v>
      </c>
      <c r="E70" s="102"/>
      <c r="F70" s="103" t="s">
        <v>22</v>
      </c>
      <c r="G70" s="106">
        <v>0</v>
      </c>
      <c r="H70" s="105">
        <f>G70/$G$9</f>
        <v>0</v>
      </c>
      <c r="I70" s="106">
        <f>'表3-2｜期出決算附屬表'!G220</f>
        <v>30679</v>
      </c>
      <c r="J70" s="123">
        <f>'表3-2｜期出決算附屬表'!H220</f>
        <v>3.0467857745821458E-2</v>
      </c>
      <c r="K70" s="108"/>
      <c r="L70" s="109"/>
      <c r="M70" s="109"/>
      <c r="N70" s="109"/>
    </row>
    <row r="71" spans="1:14" ht="15.75" customHeight="1">
      <c r="A71" s="68"/>
      <c r="B71" s="82"/>
      <c r="C71" s="68"/>
      <c r="D71" s="82"/>
      <c r="E71" s="75"/>
      <c r="F71" s="94"/>
      <c r="G71" s="97"/>
      <c r="H71" s="96"/>
      <c r="I71" s="97"/>
      <c r="J71" s="98"/>
      <c r="K71" s="54"/>
      <c r="L71" s="36"/>
      <c r="M71" s="36"/>
      <c r="N71" s="36"/>
    </row>
    <row r="72" spans="1:14" ht="15.75" customHeight="1">
      <c r="A72" s="68"/>
      <c r="B72" s="82"/>
      <c r="C72" s="68" t="s">
        <v>46</v>
      </c>
      <c r="D72" s="82" t="s">
        <v>45</v>
      </c>
      <c r="E72" s="75"/>
      <c r="F72" s="94" t="s">
        <v>47</v>
      </c>
      <c r="G72" s="97">
        <f>'表3-1｜期入決算附屬表'!G83</f>
        <v>0</v>
      </c>
      <c r="H72" s="124">
        <f>'表3-1｜期入決算附屬表'!H83</f>
        <v>0</v>
      </c>
      <c r="I72" s="97">
        <f>'表3-2｜期出決算附屬表'!G221</f>
        <v>26000</v>
      </c>
      <c r="J72" s="98">
        <f>'表3-2｜期出決算附屬表'!H221</f>
        <v>0.84748525049708268</v>
      </c>
      <c r="K72" s="116" t="str">
        <f t="shared" ref="K72:K75" si="9">"會費支出："&amp;(I72-G72)</f>
        <v>會費支出：26000</v>
      </c>
      <c r="L72" s="36"/>
      <c r="M72" s="36"/>
      <c r="N72" s="36"/>
    </row>
    <row r="73" spans="1:14" ht="15.75" customHeight="1">
      <c r="A73" s="68"/>
      <c r="B73" s="82"/>
      <c r="C73" s="68"/>
      <c r="D73" s="82" t="s">
        <v>48</v>
      </c>
      <c r="E73" s="75"/>
      <c r="F73" s="94" t="s">
        <v>78</v>
      </c>
      <c r="G73" s="97">
        <f>'表3-1｜期入決算附屬表'!G84</f>
        <v>0</v>
      </c>
      <c r="H73" s="124">
        <f>'表3-1｜期入決算附屬表'!H84</f>
        <v>0</v>
      </c>
      <c r="I73" s="97">
        <f>'表3-2｜期出決算附屬表'!G228</f>
        <v>0</v>
      </c>
      <c r="J73" s="115">
        <f>'表3-2｜期出決算附屬表'!H228</f>
        <v>0</v>
      </c>
      <c r="K73" s="116" t="str">
        <f t="shared" si="9"/>
        <v>會費支出：0</v>
      </c>
      <c r="L73" s="36"/>
      <c r="M73" s="36"/>
      <c r="N73" s="36"/>
    </row>
    <row r="74" spans="1:14" ht="15.75" customHeight="1">
      <c r="A74" s="68"/>
      <c r="B74" s="82"/>
      <c r="C74" s="68"/>
      <c r="D74" s="82" t="s">
        <v>52</v>
      </c>
      <c r="E74" s="75"/>
      <c r="F74" s="94" t="s">
        <v>79</v>
      </c>
      <c r="G74" s="97">
        <f>'表3-1｜期入決算附屬表'!G85</f>
        <v>0</v>
      </c>
      <c r="H74" s="124">
        <f>'表3-1｜期入決算附屬表'!H85</f>
        <v>0</v>
      </c>
      <c r="I74" s="97">
        <f>'表3-2｜期出決算附屬表'!G231</f>
        <v>4679</v>
      </c>
      <c r="J74" s="115">
        <f>'表3-2｜期出決算附屬表'!H231</f>
        <v>0.1525147495029173</v>
      </c>
      <c r="K74" s="116" t="str">
        <f t="shared" si="9"/>
        <v>會費支出：4679</v>
      </c>
      <c r="L74" s="36"/>
      <c r="M74" s="36"/>
      <c r="N74" s="36"/>
    </row>
    <row r="75" spans="1:14" ht="15.75" customHeight="1">
      <c r="A75" s="68"/>
      <c r="B75" s="82"/>
      <c r="C75" s="68" t="s">
        <v>50</v>
      </c>
      <c r="D75" s="82" t="s">
        <v>50</v>
      </c>
      <c r="E75" s="75"/>
      <c r="F75" s="94" t="s">
        <v>51</v>
      </c>
      <c r="G75" s="97">
        <v>0</v>
      </c>
      <c r="H75" s="124">
        <v>0</v>
      </c>
      <c r="I75" s="97">
        <v>0</v>
      </c>
      <c r="J75" s="124">
        <v>0</v>
      </c>
      <c r="K75" s="116" t="str">
        <f t="shared" si="9"/>
        <v>會費支出：0</v>
      </c>
      <c r="L75" s="36"/>
      <c r="M75" s="36"/>
      <c r="N75" s="36"/>
    </row>
    <row r="76" spans="1:14" ht="15.75" customHeight="1">
      <c r="A76" s="68"/>
      <c r="B76" s="82"/>
      <c r="C76" s="68"/>
      <c r="D76" s="82"/>
      <c r="E76" s="75"/>
      <c r="F76" s="94"/>
      <c r="G76" s="97"/>
      <c r="H76" s="96"/>
      <c r="I76" s="97"/>
      <c r="J76" s="98"/>
      <c r="K76" s="54"/>
      <c r="L76" s="36"/>
      <c r="M76" s="36"/>
      <c r="N76" s="36"/>
    </row>
    <row r="77" spans="1:14" ht="15.75" customHeight="1">
      <c r="A77" s="101"/>
      <c r="B77" s="100" t="s">
        <v>80</v>
      </c>
      <c r="C77" s="101" t="s">
        <v>46</v>
      </c>
      <c r="D77" s="100" t="s">
        <v>46</v>
      </c>
      <c r="E77" s="102"/>
      <c r="F77" s="103" t="s">
        <v>23</v>
      </c>
      <c r="G77" s="106">
        <f>'表3-1｜期入決算附屬表'!I88</f>
        <v>50000</v>
      </c>
      <c r="H77" s="105">
        <f>G77/$G$9</f>
        <v>2.0495557997715155E-2</v>
      </c>
      <c r="I77" s="106">
        <f>'表3-2｜期出決算附屬表'!G239</f>
        <v>219815</v>
      </c>
      <c r="J77" s="123">
        <f>'表3-2｜期出決算附屬表'!H239</f>
        <v>0.21830216598969143</v>
      </c>
      <c r="K77" s="108"/>
      <c r="L77" s="109"/>
      <c r="M77" s="109"/>
      <c r="N77" s="109"/>
    </row>
    <row r="78" spans="1:14" ht="15.75" customHeight="1">
      <c r="A78" s="68"/>
      <c r="B78" s="82"/>
      <c r="C78" s="68"/>
      <c r="D78" s="82"/>
      <c r="E78" s="75"/>
      <c r="F78" s="94"/>
      <c r="G78" s="97"/>
      <c r="H78" s="96"/>
      <c r="I78" s="97"/>
      <c r="J78" s="98"/>
      <c r="K78" s="54"/>
      <c r="L78" s="36"/>
      <c r="M78" s="36"/>
      <c r="N78" s="36"/>
    </row>
    <row r="79" spans="1:14" ht="15.75" customHeight="1">
      <c r="A79" s="68"/>
      <c r="B79" s="82"/>
      <c r="C79" s="68" t="s">
        <v>46</v>
      </c>
      <c r="D79" s="82" t="s">
        <v>45</v>
      </c>
      <c r="E79" s="75"/>
      <c r="F79" s="94" t="s">
        <v>47</v>
      </c>
      <c r="G79" s="97">
        <f>'表3-1｜期入決算附屬表'!G90</f>
        <v>10000</v>
      </c>
      <c r="H79" s="115">
        <f>'表3-1｜期入決算附屬表'!H90</f>
        <v>0.2</v>
      </c>
      <c r="I79" s="97">
        <f>'表3-2｜期出決算附屬表'!G240</f>
        <v>30807</v>
      </c>
      <c r="J79" s="115">
        <f>'表3-2｜期出決算附屬表'!H240</f>
        <v>0.14014967131451447</v>
      </c>
      <c r="K79" s="116" t="str">
        <f t="shared" ref="K79:K83" si="10">"會費支出："&amp;(I79-G79)</f>
        <v>會費支出：20807</v>
      </c>
      <c r="L79" s="36"/>
      <c r="M79" s="36"/>
      <c r="N79" s="36"/>
    </row>
    <row r="80" spans="1:14" ht="15.75" customHeight="1">
      <c r="A80" s="68"/>
      <c r="B80" s="82"/>
      <c r="C80" s="68"/>
      <c r="D80" s="82" t="s">
        <v>48</v>
      </c>
      <c r="E80" s="75"/>
      <c r="F80" s="94" t="s">
        <v>81</v>
      </c>
      <c r="G80" s="97">
        <f>'表3-1｜期入決算附屬表'!G92</f>
        <v>40000</v>
      </c>
      <c r="H80" s="115">
        <f>'表3-1｜期入決算附屬表'!H92</f>
        <v>0.8</v>
      </c>
      <c r="I80" s="97">
        <f>'表3-2｜期出決算附屬表'!G256</f>
        <v>155003</v>
      </c>
      <c r="J80" s="115">
        <f>'表3-2｜期出決算附屬表'!H256</f>
        <v>0.70515205968655459</v>
      </c>
      <c r="K80" s="116" t="str">
        <f t="shared" si="10"/>
        <v>會費支出：115003</v>
      </c>
      <c r="L80" s="36"/>
      <c r="M80" s="36"/>
      <c r="N80" s="36"/>
    </row>
    <row r="81" spans="1:14" ht="15.75" customHeight="1">
      <c r="A81" s="68"/>
      <c r="B81" s="82"/>
      <c r="C81" s="68"/>
      <c r="D81" s="82" t="s">
        <v>52</v>
      </c>
      <c r="E81" s="75"/>
      <c r="F81" s="94" t="s">
        <v>82</v>
      </c>
      <c r="G81" s="97">
        <f>'表3-1｜期入決算附屬表'!G94</f>
        <v>0</v>
      </c>
      <c r="H81" s="115">
        <f>'表3-1｜期入決算附屬表'!H94</f>
        <v>0</v>
      </c>
      <c r="I81" s="97">
        <f>'表3-2｜期出決算附屬表'!G277</f>
        <v>28000</v>
      </c>
      <c r="J81" s="115">
        <f>'表3-2｜期出決算附屬表'!H277</f>
        <v>0.12737984213998135</v>
      </c>
      <c r="K81" s="116" t="str">
        <f t="shared" si="10"/>
        <v>會費支出：28000</v>
      </c>
      <c r="L81" s="36"/>
      <c r="M81" s="36"/>
      <c r="N81" s="36"/>
    </row>
    <row r="82" spans="1:14" ht="15.75" customHeight="1">
      <c r="A82" s="68"/>
      <c r="B82" s="82"/>
      <c r="C82" s="68"/>
      <c r="D82" s="82" t="s">
        <v>53</v>
      </c>
      <c r="E82" s="75"/>
      <c r="F82" s="94" t="s">
        <v>83</v>
      </c>
      <c r="G82" s="97">
        <f>'表3-1｜期入決算附屬表'!G95</f>
        <v>0</v>
      </c>
      <c r="H82" s="115">
        <f>'表3-1｜期入決算附屬表'!H95</f>
        <v>0</v>
      </c>
      <c r="I82" s="97">
        <f>'表3-2｜期出決算附屬表'!G280</f>
        <v>0</v>
      </c>
      <c r="J82" s="115">
        <f>'表3-2｜期出決算附屬表'!H280</f>
        <v>0</v>
      </c>
      <c r="K82" s="116" t="str">
        <f t="shared" si="10"/>
        <v>會費支出：0</v>
      </c>
      <c r="L82" s="36"/>
      <c r="M82" s="36"/>
      <c r="N82" s="36"/>
    </row>
    <row r="83" spans="1:14" ht="15.75" customHeight="1">
      <c r="A83" s="68"/>
      <c r="B83" s="82"/>
      <c r="C83" s="68" t="s">
        <v>50</v>
      </c>
      <c r="D83" s="82" t="s">
        <v>50</v>
      </c>
      <c r="E83" s="75"/>
      <c r="F83" s="94" t="s">
        <v>51</v>
      </c>
      <c r="G83" s="97">
        <f>'表3-1｜期入決算附屬表'!G97</f>
        <v>0</v>
      </c>
      <c r="H83" s="97">
        <f>'表3-1｜期入決算附屬表'!H97</f>
        <v>0</v>
      </c>
      <c r="I83" s="97">
        <f>'表3-2｜期出決算附屬表'!G283</f>
        <v>6005</v>
      </c>
      <c r="J83" s="115">
        <f>'表3-2｜期出決算附屬表'!H283</f>
        <v>2.7318426858949571E-2</v>
      </c>
      <c r="K83" s="116" t="str">
        <f t="shared" si="10"/>
        <v>會費支出：6005</v>
      </c>
      <c r="L83" s="36"/>
      <c r="M83" s="36"/>
      <c r="N83" s="36"/>
    </row>
    <row r="84" spans="1:14" ht="15.75" customHeight="1">
      <c r="A84" s="68"/>
      <c r="B84" s="82"/>
      <c r="C84" s="68"/>
      <c r="D84" s="82"/>
      <c r="E84" s="75"/>
      <c r="F84" s="94"/>
      <c r="G84" s="97"/>
      <c r="H84" s="96"/>
      <c r="I84" s="97"/>
      <c r="J84" s="98"/>
      <c r="K84" s="54"/>
      <c r="L84" s="36"/>
      <c r="M84" s="36"/>
      <c r="N84" s="36"/>
    </row>
    <row r="85" spans="1:14" ht="15.75" customHeight="1">
      <c r="A85" s="101"/>
      <c r="B85" s="100" t="s">
        <v>50</v>
      </c>
      <c r="C85" s="101" t="s">
        <v>46</v>
      </c>
      <c r="D85" s="100" t="s">
        <v>46</v>
      </c>
      <c r="E85" s="102"/>
      <c r="F85" s="103" t="s">
        <v>24</v>
      </c>
      <c r="G85" s="106">
        <f>'表3-1｜期入決算附屬表'!G99</f>
        <v>42918</v>
      </c>
      <c r="H85" s="105">
        <f>G85/$G$9</f>
        <v>1.7592567162918779E-2</v>
      </c>
      <c r="I85" s="106">
        <f>'表3-2｜期出決算附屬表'!G287</f>
        <v>91524</v>
      </c>
      <c r="J85" s="123">
        <f>'表3-2｜期出決算附屬表'!H287</f>
        <v>9.0894103860248474E-2</v>
      </c>
      <c r="K85" s="108"/>
      <c r="L85" s="109"/>
      <c r="M85" s="109"/>
      <c r="N85" s="109"/>
    </row>
    <row r="86" spans="1:14" ht="15.75" customHeight="1">
      <c r="A86" s="68"/>
      <c r="B86" s="82"/>
      <c r="C86" s="68"/>
      <c r="D86" s="82"/>
      <c r="E86" s="75"/>
      <c r="F86" s="94"/>
      <c r="G86" s="97"/>
      <c r="H86" s="96"/>
      <c r="I86" s="97"/>
      <c r="J86" s="98"/>
      <c r="K86" s="116"/>
      <c r="L86" s="36"/>
      <c r="M86" s="36"/>
      <c r="N86" s="36"/>
    </row>
    <row r="87" spans="1:14" ht="15.75" customHeight="1">
      <c r="A87" s="125"/>
      <c r="B87" s="126"/>
      <c r="C87" s="125" t="s">
        <v>45</v>
      </c>
      <c r="D87" s="126" t="s">
        <v>46</v>
      </c>
      <c r="E87" s="127"/>
      <c r="F87" s="128" t="s">
        <v>84</v>
      </c>
      <c r="G87" s="129">
        <f>'表3-1｜期入決算附屬表'!G103</f>
        <v>25880</v>
      </c>
      <c r="H87" s="130">
        <f>G87/$G$85</f>
        <v>0.60301039191015426</v>
      </c>
      <c r="I87" s="129">
        <f>'表3-2｜期出決算附屬表'!G294</f>
        <v>30778</v>
      </c>
      <c r="J87" s="130">
        <f>'表3-2｜期出決算附屬表'!H294</f>
        <v>0.33628337922293605</v>
      </c>
      <c r="K87" s="131"/>
      <c r="L87" s="132"/>
      <c r="M87" s="132"/>
      <c r="N87" s="132"/>
    </row>
    <row r="88" spans="1:14" ht="15.75" customHeight="1">
      <c r="A88" s="68"/>
      <c r="B88" s="82"/>
      <c r="C88" s="68"/>
      <c r="D88" s="82" t="s">
        <v>45</v>
      </c>
      <c r="E88" s="75"/>
      <c r="F88" s="94" t="s">
        <v>85</v>
      </c>
      <c r="G88" s="97">
        <f>'表3-1｜期入決算附屬表'!G104</f>
        <v>21777</v>
      </c>
      <c r="H88" s="115">
        <f>'表3-1｜期入決算附屬表'!H104</f>
        <v>0.8414605873261205</v>
      </c>
      <c r="I88" s="97">
        <f>'表3-2｜期出決算附屬表'!G295</f>
        <v>24775</v>
      </c>
      <c r="J88" s="115">
        <f>'表3-2｜期出決算附屬表'!H295</f>
        <v>0.80495808694522064</v>
      </c>
      <c r="K88" s="116" t="str">
        <f t="shared" ref="K88:K89" si="11">"會費支出："&amp;(I88-G88)</f>
        <v>會費支出：2998</v>
      </c>
      <c r="L88" s="36"/>
      <c r="M88" s="36"/>
      <c r="N88" s="36"/>
    </row>
    <row r="89" spans="1:14" ht="15.75" customHeight="1">
      <c r="A89" s="68"/>
      <c r="B89" s="82"/>
      <c r="C89" s="68"/>
      <c r="D89" s="82" t="s">
        <v>48</v>
      </c>
      <c r="E89" s="75"/>
      <c r="F89" s="94" t="s">
        <v>86</v>
      </c>
      <c r="G89" s="97">
        <f>'表3-1｜期入決算附屬表'!G106</f>
        <v>4103</v>
      </c>
      <c r="H89" s="115">
        <f>'表3-1｜期入決算附屬表'!H106</f>
        <v>0.15853941267387944</v>
      </c>
      <c r="I89" s="97">
        <f>'表3-2｜期出決算附屬表'!G302</f>
        <v>6003</v>
      </c>
      <c r="J89" s="115">
        <f>'表3-2｜期出決算附屬表'!H302</f>
        <v>0.19504191305477939</v>
      </c>
      <c r="K89" s="116" t="str">
        <f t="shared" si="11"/>
        <v>會費支出：1900</v>
      </c>
      <c r="L89" s="36"/>
      <c r="M89" s="36"/>
      <c r="N89" s="36"/>
    </row>
    <row r="90" spans="1:14" ht="15.75" customHeight="1">
      <c r="A90" s="133"/>
      <c r="B90" s="134"/>
      <c r="C90" s="133" t="s">
        <v>48</v>
      </c>
      <c r="D90" s="134" t="s">
        <v>46</v>
      </c>
      <c r="E90" s="135"/>
      <c r="F90" s="136" t="s">
        <v>87</v>
      </c>
      <c r="G90" s="137">
        <f>'表3-1｜期入決算附屬表'!G109</f>
        <v>17038</v>
      </c>
      <c r="H90" s="138">
        <f>G90/$G$85</f>
        <v>0.39698960808984574</v>
      </c>
      <c r="I90" s="137">
        <f>'表3-2｜期出決算附屬表'!G308</f>
        <v>22046</v>
      </c>
      <c r="J90" s="138">
        <f>'表3-2｜期出決算附屬表'!H308</f>
        <v>0.24087670993400639</v>
      </c>
      <c r="K90" s="139"/>
      <c r="L90" s="140"/>
      <c r="M90" s="140"/>
      <c r="N90" s="140"/>
    </row>
    <row r="91" spans="1:14" ht="15.75" customHeight="1">
      <c r="A91" s="68"/>
      <c r="B91" s="82"/>
      <c r="C91" s="68"/>
      <c r="D91" s="82" t="s">
        <v>45</v>
      </c>
      <c r="E91" s="75"/>
      <c r="F91" s="94" t="s">
        <v>88</v>
      </c>
      <c r="G91" s="97">
        <f>'表3-1｜期入決算附屬表'!G110</f>
        <v>5488</v>
      </c>
      <c r="H91" s="115">
        <f>'表3-1｜期入決算附屬表'!H110</f>
        <v>0.32210353327855384</v>
      </c>
      <c r="I91" s="97">
        <f>'表3-2｜期出決算附屬表'!G309</f>
        <v>6088</v>
      </c>
      <c r="J91" s="115">
        <f>'表3-2｜期出決算附屬表'!H309</f>
        <v>0.2761498684568629</v>
      </c>
      <c r="K91" s="116" t="str">
        <f t="shared" ref="K91:K93" si="12">"會費支出："&amp;(I91-G91)</f>
        <v>會費支出：600</v>
      </c>
      <c r="L91" s="36"/>
      <c r="M91" s="36"/>
      <c r="N91" s="36"/>
    </row>
    <row r="92" spans="1:14" ht="15.75" customHeight="1">
      <c r="A92" s="68"/>
      <c r="B92" s="82"/>
      <c r="C92" s="68"/>
      <c r="D92" s="82" t="s">
        <v>48</v>
      </c>
      <c r="E92" s="75"/>
      <c r="F92" s="94" t="s">
        <v>89</v>
      </c>
      <c r="G92" s="97">
        <f>'表3-1｜期入決算附屬表'!G112</f>
        <v>4800</v>
      </c>
      <c r="H92" s="115">
        <f>'表3-1｜期入決算附屬表'!H112</f>
        <v>0.28172320694917241</v>
      </c>
      <c r="I92" s="97">
        <f>'表3-2｜期出決算附屬表'!G316</f>
        <v>6480</v>
      </c>
      <c r="J92" s="115">
        <f>'表3-2｜期出決算附屬表'!H316</f>
        <v>0.29393087181348088</v>
      </c>
      <c r="K92" s="116" t="str">
        <f t="shared" si="12"/>
        <v>會費支出：1680</v>
      </c>
      <c r="L92" s="36"/>
      <c r="M92" s="36"/>
      <c r="N92" s="36"/>
    </row>
    <row r="93" spans="1:14" ht="15.75" customHeight="1">
      <c r="A93" s="68"/>
      <c r="B93" s="82"/>
      <c r="C93" s="68"/>
      <c r="D93" s="82" t="s">
        <v>52</v>
      </c>
      <c r="E93" s="141"/>
      <c r="F93" s="142" t="s">
        <v>90</v>
      </c>
      <c r="G93" s="97">
        <f>'表3-1｜期入決算附屬表'!G114</f>
        <v>6750</v>
      </c>
      <c r="H93" s="115">
        <f>'表3-1｜期入決算附屬表'!H114</f>
        <v>0.39617325977227374</v>
      </c>
      <c r="I93" s="97">
        <f>'表3-2｜期出決算附屬表'!G324</f>
        <v>9478</v>
      </c>
      <c r="J93" s="115">
        <f>'表3-2｜期出決算附屬表'!H324</f>
        <v>0.42991925972965617</v>
      </c>
      <c r="K93" s="116" t="str">
        <f t="shared" si="12"/>
        <v>會費支出：2728</v>
      </c>
      <c r="L93" s="36"/>
      <c r="M93" s="36"/>
      <c r="N93" s="36"/>
    </row>
    <row r="94" spans="1:14" ht="15.75" customHeight="1">
      <c r="A94" s="68"/>
      <c r="B94" s="82"/>
      <c r="C94" s="68"/>
      <c r="D94" s="82"/>
      <c r="E94" s="141"/>
      <c r="F94" s="94"/>
      <c r="G94" s="97"/>
      <c r="H94" s="96"/>
      <c r="I94" s="97"/>
      <c r="J94" s="98"/>
      <c r="K94" s="54"/>
      <c r="L94" s="36"/>
      <c r="M94" s="36"/>
      <c r="N94" s="36"/>
    </row>
    <row r="95" spans="1:14" ht="15.75" customHeight="1">
      <c r="A95" s="101"/>
      <c r="B95" s="100" t="s">
        <v>25</v>
      </c>
      <c r="C95" s="101" t="s">
        <v>46</v>
      </c>
      <c r="D95" s="100" t="s">
        <v>46</v>
      </c>
      <c r="E95" s="102"/>
      <c r="F95" s="103" t="s">
        <v>26</v>
      </c>
      <c r="G95" s="106">
        <f>'表3-1｜期入決算附屬表'!I119</f>
        <v>0</v>
      </c>
      <c r="H95" s="105">
        <f>G95/$G$9</f>
        <v>0</v>
      </c>
      <c r="I95" s="106">
        <f>'表3-2｜期出決算附屬表'!G341</f>
        <v>58690</v>
      </c>
      <c r="J95" s="123">
        <f>'表3-2｜期出決算附屬表'!H341</f>
        <v>5.8286077483042514E-2</v>
      </c>
      <c r="K95" s="108"/>
      <c r="L95" s="109"/>
      <c r="M95" s="109"/>
      <c r="N95" s="109"/>
    </row>
    <row r="96" spans="1:14" ht="15.75" customHeight="1">
      <c r="A96" s="68"/>
      <c r="B96" s="82"/>
      <c r="C96" s="75"/>
      <c r="D96" s="75"/>
      <c r="E96" s="141"/>
      <c r="F96" s="94"/>
      <c r="G96" s="97"/>
      <c r="H96" s="96"/>
      <c r="I96" s="97"/>
      <c r="J96" s="98"/>
      <c r="K96" s="54"/>
      <c r="L96" s="36"/>
      <c r="M96" s="36"/>
      <c r="N96" s="36"/>
    </row>
    <row r="97" spans="1:14" ht="15.75" customHeight="1">
      <c r="A97" s="68"/>
      <c r="B97" s="82"/>
      <c r="C97" s="143" t="s">
        <v>46</v>
      </c>
      <c r="D97" s="143" t="s">
        <v>45</v>
      </c>
      <c r="E97" s="144"/>
      <c r="F97" s="145" t="s">
        <v>47</v>
      </c>
      <c r="G97" s="97">
        <v>0</v>
      </c>
      <c r="H97" s="124">
        <v>0</v>
      </c>
      <c r="I97" s="97">
        <f>'表3-2｜期出決算附屬表'!G342</f>
        <v>29490</v>
      </c>
      <c r="J97" s="115">
        <f>'表3-2｜期出決算附屬表'!H342</f>
        <v>0.50247060828079737</v>
      </c>
      <c r="K97" s="116" t="str">
        <f t="shared" ref="K97:K102" si="13">"會費支出："&amp;(I97-G97)</f>
        <v>會費支出：29490</v>
      </c>
      <c r="L97" s="42"/>
      <c r="M97" s="42"/>
      <c r="N97" s="42"/>
    </row>
    <row r="98" spans="1:14" ht="15.75" customHeight="1">
      <c r="A98" s="68"/>
      <c r="B98" s="82"/>
      <c r="C98" s="143"/>
      <c r="D98" s="146" t="s">
        <v>48</v>
      </c>
      <c r="E98" s="144"/>
      <c r="F98" s="145" t="s">
        <v>91</v>
      </c>
      <c r="G98" s="97">
        <v>0</v>
      </c>
      <c r="H98" s="124">
        <v>0</v>
      </c>
      <c r="I98" s="97">
        <f>'表3-2｜期出決算附屬表'!G344</f>
        <v>5200</v>
      </c>
      <c r="J98" s="115">
        <f>'表3-2｜期出決算附屬表'!H344</f>
        <v>8.8601124552734709E-2</v>
      </c>
      <c r="K98" s="116" t="str">
        <f t="shared" si="13"/>
        <v>會費支出：5200</v>
      </c>
      <c r="L98" s="117"/>
      <c r="M98" s="117"/>
      <c r="N98" s="117"/>
    </row>
    <row r="99" spans="1:14" ht="15.75" customHeight="1">
      <c r="A99" s="68"/>
      <c r="B99" s="82"/>
      <c r="C99" s="147"/>
      <c r="D99" s="146" t="s">
        <v>52</v>
      </c>
      <c r="E99" s="144"/>
      <c r="F99" s="148" t="s">
        <v>92</v>
      </c>
      <c r="G99" s="97">
        <v>0</v>
      </c>
      <c r="H99" s="124">
        <v>0</v>
      </c>
      <c r="I99" s="97">
        <f>'表3-2｜期出決算附屬表'!G348</f>
        <v>4800</v>
      </c>
      <c r="J99" s="115">
        <f>'表3-2｜期出決算附屬表'!H348</f>
        <v>8.1785653433293581E-2</v>
      </c>
      <c r="K99" s="116" t="str">
        <f t="shared" si="13"/>
        <v>會費支出：4800</v>
      </c>
      <c r="L99" s="117"/>
      <c r="M99" s="117"/>
      <c r="N99" s="117"/>
    </row>
    <row r="100" spans="1:14" ht="15.75" customHeight="1">
      <c r="A100" s="68"/>
      <c r="B100" s="82"/>
      <c r="C100" s="147"/>
      <c r="D100" s="146" t="s">
        <v>53</v>
      </c>
      <c r="E100" s="144"/>
      <c r="F100" s="148" t="s">
        <v>93</v>
      </c>
      <c r="G100" s="97">
        <v>0</v>
      </c>
      <c r="H100" s="124">
        <v>0</v>
      </c>
      <c r="I100" s="97">
        <f>'表3-2｜期出決算附屬表'!G352</f>
        <v>6400</v>
      </c>
      <c r="J100" s="115">
        <f>'表3-2｜期出決算附屬表'!H352</f>
        <v>0.1090475379110581</v>
      </c>
      <c r="K100" s="116" t="str">
        <f t="shared" si="13"/>
        <v>會費支出：6400</v>
      </c>
      <c r="L100" s="117"/>
      <c r="M100" s="117"/>
      <c r="N100" s="117"/>
    </row>
    <row r="101" spans="1:14" ht="15.75" customHeight="1">
      <c r="A101" s="68"/>
      <c r="B101" s="82"/>
      <c r="C101" s="147"/>
      <c r="D101" s="146" t="s">
        <v>55</v>
      </c>
      <c r="E101" s="144"/>
      <c r="F101" s="148" t="s">
        <v>94</v>
      </c>
      <c r="G101" s="97">
        <v>0</v>
      </c>
      <c r="H101" s="124">
        <v>0</v>
      </c>
      <c r="I101" s="97">
        <f>'表3-2｜期出決算附屬表'!G356</f>
        <v>12800</v>
      </c>
      <c r="J101" s="115">
        <f>'表3-2｜期出決算附屬表'!H356</f>
        <v>0.21809507582211621</v>
      </c>
      <c r="K101" s="116" t="str">
        <f t="shared" si="13"/>
        <v>會費支出：12800</v>
      </c>
      <c r="L101" s="117"/>
      <c r="M101" s="117"/>
      <c r="N101" s="117"/>
    </row>
    <row r="102" spans="1:14" ht="15.75" customHeight="1">
      <c r="A102" s="68"/>
      <c r="B102" s="82"/>
      <c r="C102" s="68" t="s">
        <v>50</v>
      </c>
      <c r="D102" s="82" t="s">
        <v>50</v>
      </c>
      <c r="E102" s="75"/>
      <c r="F102" s="94" t="s">
        <v>51</v>
      </c>
      <c r="G102" s="97">
        <v>0</v>
      </c>
      <c r="H102" s="124">
        <v>0</v>
      </c>
      <c r="I102" s="97">
        <v>0</v>
      </c>
      <c r="J102" s="98">
        <v>0</v>
      </c>
      <c r="K102" s="116" t="str">
        <f t="shared" si="13"/>
        <v>會費支出：0</v>
      </c>
      <c r="L102" s="36"/>
      <c r="M102" s="36"/>
      <c r="N102" s="36"/>
    </row>
    <row r="103" spans="1:14" ht="15.75" customHeight="1">
      <c r="A103" s="68"/>
      <c r="B103" s="82"/>
      <c r="C103" s="75"/>
      <c r="D103" s="75"/>
      <c r="E103" s="141"/>
      <c r="F103" s="94"/>
      <c r="G103" s="97"/>
      <c r="H103" s="96"/>
      <c r="I103" s="97"/>
      <c r="J103" s="98"/>
      <c r="K103" s="54"/>
      <c r="L103" s="36"/>
      <c r="M103" s="36"/>
      <c r="N103" s="36"/>
    </row>
    <row r="104" spans="1:14" ht="15.75" customHeight="1">
      <c r="A104" s="87" t="s">
        <v>48</v>
      </c>
      <c r="B104" s="88" t="s">
        <v>46</v>
      </c>
      <c r="C104" s="87" t="s">
        <v>46</v>
      </c>
      <c r="D104" s="88" t="s">
        <v>46</v>
      </c>
      <c r="E104" s="89"/>
      <c r="F104" s="90" t="s">
        <v>27</v>
      </c>
      <c r="G104" s="149">
        <f>'表3-1｜期入決算附屬表'!I128</f>
        <v>0</v>
      </c>
      <c r="H104" s="105">
        <f>G104/$G$9</f>
        <v>0</v>
      </c>
      <c r="I104" s="149">
        <f>'表3-2｜期出決算附屬表'!G365</f>
        <v>156075</v>
      </c>
      <c r="J104" s="150">
        <f>'表3-2｜期出決算附屬表'!H365</f>
        <v>0.13073743199266211</v>
      </c>
      <c r="K104" s="92"/>
      <c r="L104" s="93"/>
      <c r="M104" s="93"/>
      <c r="N104" s="93"/>
    </row>
    <row r="105" spans="1:14" ht="15.75" customHeight="1">
      <c r="A105" s="151"/>
      <c r="B105" s="152" t="s">
        <v>45</v>
      </c>
      <c r="C105" s="151" t="s">
        <v>46</v>
      </c>
      <c r="D105" s="152" t="s">
        <v>46</v>
      </c>
      <c r="E105" s="153"/>
      <c r="F105" s="154" t="s">
        <v>28</v>
      </c>
      <c r="G105" s="121">
        <f>'表3-1｜期入決算附屬表'!I130</f>
        <v>0</v>
      </c>
      <c r="H105" s="124">
        <v>0</v>
      </c>
      <c r="I105" s="121">
        <f>'表3-2｜期出決算附屬表'!G366</f>
        <v>156075</v>
      </c>
      <c r="J105" s="155">
        <f>'表3-2｜期出決算附屬表'!J366</f>
        <v>1</v>
      </c>
      <c r="K105" s="47"/>
      <c r="L105" s="23"/>
      <c r="M105" s="23"/>
      <c r="N105" s="23"/>
    </row>
    <row r="106" spans="1:14" ht="15.75" customHeight="1">
      <c r="A106" s="68"/>
      <c r="B106" s="82"/>
      <c r="C106" s="68" t="s">
        <v>46</v>
      </c>
      <c r="D106" s="82" t="s">
        <v>45</v>
      </c>
      <c r="E106" s="75"/>
      <c r="F106" s="94" t="s">
        <v>95</v>
      </c>
      <c r="G106" s="97">
        <v>0</v>
      </c>
      <c r="H106" s="124">
        <v>0</v>
      </c>
      <c r="I106" s="97">
        <f>'表3-2｜期出決算附屬表'!G367</f>
        <v>105161</v>
      </c>
      <c r="J106" s="115">
        <f>'表3-2｜期出決算附屬表'!H367</f>
        <v>0.67378503924395328</v>
      </c>
      <c r="K106" s="116" t="str">
        <f t="shared" ref="K106:K112" si="14">"會費支出："&amp;(I106-G106)</f>
        <v>會費支出：105161</v>
      </c>
      <c r="L106" s="42"/>
      <c r="M106" s="42"/>
      <c r="N106" s="42"/>
    </row>
    <row r="107" spans="1:14" ht="15.75" customHeight="1">
      <c r="A107" s="68"/>
      <c r="B107" s="82"/>
      <c r="C107" s="68"/>
      <c r="D107" s="82" t="s">
        <v>48</v>
      </c>
      <c r="E107" s="75"/>
      <c r="F107" s="94" t="s">
        <v>96</v>
      </c>
      <c r="G107" s="97">
        <v>0</v>
      </c>
      <c r="H107" s="124">
        <v>0</v>
      </c>
      <c r="I107" s="97">
        <f>'表3-2｜期出決算附屬表'!G387</f>
        <v>8277</v>
      </c>
      <c r="J107" s="115">
        <f>'表3-2｜期出決算附屬表'!H387</f>
        <v>5.3032196059586735E-2</v>
      </c>
      <c r="K107" s="116" t="str">
        <f t="shared" si="14"/>
        <v>會費支出：8277</v>
      </c>
      <c r="L107" s="117"/>
      <c r="M107" s="117"/>
      <c r="N107" s="117"/>
    </row>
    <row r="108" spans="1:14" ht="15.75" customHeight="1">
      <c r="A108" s="68"/>
      <c r="B108" s="82"/>
      <c r="C108" s="68"/>
      <c r="D108" s="82" t="s">
        <v>52</v>
      </c>
      <c r="E108" s="75"/>
      <c r="F108" s="94" t="s">
        <v>97</v>
      </c>
      <c r="G108" s="97">
        <v>0</v>
      </c>
      <c r="H108" s="124">
        <v>0</v>
      </c>
      <c r="I108" s="97">
        <f>'表3-2｜期出決算附屬表'!G395</f>
        <v>0</v>
      </c>
      <c r="J108" s="115">
        <f>'表3-2｜期出決算附屬表'!H395</f>
        <v>0</v>
      </c>
      <c r="K108" s="116" t="str">
        <f t="shared" si="14"/>
        <v>會費支出：0</v>
      </c>
      <c r="L108" s="117"/>
      <c r="M108" s="117"/>
      <c r="N108" s="117"/>
    </row>
    <row r="109" spans="1:14" ht="15.75" customHeight="1">
      <c r="A109" s="68"/>
      <c r="B109" s="82"/>
      <c r="C109" s="68"/>
      <c r="D109" s="82" t="s">
        <v>53</v>
      </c>
      <c r="E109" s="75"/>
      <c r="F109" s="94" t="s">
        <v>98</v>
      </c>
      <c r="G109" s="97">
        <v>0</v>
      </c>
      <c r="H109" s="124">
        <v>0</v>
      </c>
      <c r="I109" s="97">
        <f>'表3-2｜期出決算附屬表'!G401</f>
        <v>18704</v>
      </c>
      <c r="J109" s="115">
        <f>'表3-2｜期出決算附屬表'!H401</f>
        <v>0.11983982059907096</v>
      </c>
      <c r="K109" s="116" t="str">
        <f t="shared" si="14"/>
        <v>會費支出：18704</v>
      </c>
      <c r="L109" s="117"/>
      <c r="M109" s="117"/>
      <c r="N109" s="117"/>
    </row>
    <row r="110" spans="1:14" ht="15.75" customHeight="1">
      <c r="A110" s="68"/>
      <c r="B110" s="82"/>
      <c r="C110" s="68"/>
      <c r="D110" s="82" t="s">
        <v>55</v>
      </c>
      <c r="E110" s="75"/>
      <c r="F110" s="94" t="s">
        <v>99</v>
      </c>
      <c r="G110" s="97">
        <v>0</v>
      </c>
      <c r="H110" s="124">
        <v>0</v>
      </c>
      <c r="I110" s="97">
        <f>'表3-2｜期出決算附屬表'!G407</f>
        <v>0</v>
      </c>
      <c r="J110" s="115">
        <f>'表3-2｜期出決算附屬表'!H407</f>
        <v>0</v>
      </c>
      <c r="K110" s="116" t="str">
        <f t="shared" si="14"/>
        <v>會費支出：0</v>
      </c>
      <c r="L110" s="117"/>
      <c r="M110" s="117"/>
      <c r="N110" s="117"/>
    </row>
    <row r="111" spans="1:14" ht="15.75" customHeight="1">
      <c r="A111" s="68"/>
      <c r="B111" s="82"/>
      <c r="C111" s="68"/>
      <c r="D111" s="82" t="s">
        <v>61</v>
      </c>
      <c r="E111" s="75"/>
      <c r="F111" s="94" t="s">
        <v>100</v>
      </c>
      <c r="G111" s="97">
        <v>0</v>
      </c>
      <c r="H111" s="124">
        <v>0</v>
      </c>
      <c r="I111" s="97">
        <f>'表3-2｜期出決算附屬表'!G411</f>
        <v>23514</v>
      </c>
      <c r="J111" s="115">
        <f>'表3-2｜期出決算附屬表'!H411</f>
        <v>0.15065833733781836</v>
      </c>
      <c r="K111" s="116" t="str">
        <f t="shared" si="14"/>
        <v>會費支出：23514</v>
      </c>
      <c r="L111" s="117"/>
      <c r="M111" s="117"/>
      <c r="N111" s="117"/>
    </row>
    <row r="112" spans="1:14" ht="15.75" customHeight="1">
      <c r="A112" s="68"/>
      <c r="B112" s="82"/>
      <c r="C112" s="68" t="s">
        <v>50</v>
      </c>
      <c r="D112" s="82" t="s">
        <v>50</v>
      </c>
      <c r="E112" s="75"/>
      <c r="F112" s="94" t="s">
        <v>51</v>
      </c>
      <c r="G112" s="97">
        <f>'表3-1｜期入決算附屬表'!I138</f>
        <v>0</v>
      </c>
      <c r="H112" s="124">
        <v>0</v>
      </c>
      <c r="I112" s="97">
        <f>'表3-2｜期出決算附屬表'!G423</f>
        <v>419</v>
      </c>
      <c r="J112" s="115">
        <f>'表3-2｜期出決算附屬表'!H423</f>
        <v>2.6846067595707192E-3</v>
      </c>
      <c r="K112" s="116" t="str">
        <f t="shared" si="14"/>
        <v>會費支出：419</v>
      </c>
      <c r="L112" s="36"/>
      <c r="M112" s="36"/>
      <c r="N112" s="36"/>
    </row>
    <row r="113" spans="1:14" ht="15.75" customHeight="1">
      <c r="A113" s="68"/>
      <c r="B113" s="82"/>
      <c r="C113" s="68"/>
      <c r="D113" s="82"/>
      <c r="E113" s="75"/>
      <c r="F113" s="94"/>
      <c r="G113" s="97"/>
      <c r="H113" s="96"/>
      <c r="I113" s="97"/>
      <c r="J113" s="98"/>
      <c r="K113" s="54"/>
      <c r="L113" s="36"/>
      <c r="M113" s="36"/>
      <c r="N113" s="36"/>
    </row>
    <row r="114" spans="1:14" ht="15.75" customHeight="1">
      <c r="A114" s="87" t="s">
        <v>52</v>
      </c>
      <c r="B114" s="88" t="s">
        <v>46</v>
      </c>
      <c r="C114" s="87" t="s">
        <v>46</v>
      </c>
      <c r="D114" s="88" t="s">
        <v>46</v>
      </c>
      <c r="E114" s="89"/>
      <c r="F114" s="90" t="s">
        <v>29</v>
      </c>
      <c r="G114" s="149">
        <f>'表3-1｜期入決算附屬表'!I140</f>
        <v>0</v>
      </c>
      <c r="H114" s="156">
        <f>'表3-1｜期入決算附屬表'!J140</f>
        <v>0</v>
      </c>
      <c r="I114" s="149">
        <f>'表3-2｜期出決算附屬表'!G427</f>
        <v>30800</v>
      </c>
      <c r="J114" s="150">
        <f>'表3-2｜期出決算附屬表'!H427</f>
        <v>2.5799858435841698E-2</v>
      </c>
      <c r="K114" s="92"/>
      <c r="L114" s="93"/>
      <c r="M114" s="93"/>
      <c r="N114" s="93"/>
    </row>
    <row r="115" spans="1:14" ht="15.75" customHeight="1">
      <c r="A115" s="151"/>
      <c r="B115" s="152" t="s">
        <v>45</v>
      </c>
      <c r="C115" s="151" t="s">
        <v>46</v>
      </c>
      <c r="D115" s="152" t="s">
        <v>46</v>
      </c>
      <c r="E115" s="153"/>
      <c r="F115" s="154" t="s">
        <v>30</v>
      </c>
      <c r="G115" s="121">
        <f>'表3-1｜期入決算附屬表'!I142</f>
        <v>0</v>
      </c>
      <c r="H115" s="157">
        <f>'表3-1｜期入決算附屬表'!J142</f>
        <v>0</v>
      </c>
      <c r="I115" s="121">
        <f>'表3-2｜期出決算附屬表'!G428</f>
        <v>30800</v>
      </c>
      <c r="J115" s="155">
        <f>'表3-2｜期出決算附屬表'!J428</f>
        <v>1</v>
      </c>
      <c r="K115" s="47"/>
      <c r="L115" s="23"/>
      <c r="M115" s="23"/>
      <c r="N115" s="23"/>
    </row>
    <row r="116" spans="1:14" ht="15.75" customHeight="1">
      <c r="A116" s="68"/>
      <c r="B116" s="82"/>
      <c r="C116" s="68" t="s">
        <v>46</v>
      </c>
      <c r="D116" s="82" t="s">
        <v>45</v>
      </c>
      <c r="E116" s="75"/>
      <c r="F116" s="94" t="s">
        <v>101</v>
      </c>
      <c r="G116" s="97">
        <f>'表3-1｜期入決算附屬表'!I144</f>
        <v>0</v>
      </c>
      <c r="H116" s="124">
        <f>'表3-1｜期入決算附屬表'!J144</f>
        <v>0</v>
      </c>
      <c r="I116" s="97">
        <f>'表3-2｜期出決算附屬表'!G429</f>
        <v>30800</v>
      </c>
      <c r="J116" s="124">
        <f>'表3-2｜期出決算附屬表'!H429</f>
        <v>1</v>
      </c>
      <c r="K116" s="116" t="str">
        <f t="shared" ref="K116:K117" si="15">"會費支出："&amp;(I116-G116)</f>
        <v>會費支出：30800</v>
      </c>
      <c r="L116" s="42"/>
      <c r="M116" s="42"/>
      <c r="N116" s="42"/>
    </row>
    <row r="117" spans="1:14" ht="15.75" customHeight="1">
      <c r="A117" s="68"/>
      <c r="B117" s="82"/>
      <c r="C117" s="68" t="s">
        <v>50</v>
      </c>
      <c r="D117" s="82" t="s">
        <v>50</v>
      </c>
      <c r="E117" s="75"/>
      <c r="F117" s="94" t="s">
        <v>51</v>
      </c>
      <c r="G117" s="97">
        <f>'表3-1｜期入決算附屬表'!I146</f>
        <v>0</v>
      </c>
      <c r="H117" s="124">
        <f>'表3-1｜期入決算附屬表'!J146</f>
        <v>0</v>
      </c>
      <c r="I117" s="97">
        <v>0</v>
      </c>
      <c r="J117" s="124">
        <f>'表3-2｜期出決算附屬表'!H444</f>
        <v>0</v>
      </c>
      <c r="K117" s="116" t="str">
        <f t="shared" si="15"/>
        <v>會費支出：0</v>
      </c>
      <c r="L117" s="42"/>
      <c r="M117" s="42"/>
      <c r="N117" s="42"/>
    </row>
  </sheetData>
  <mergeCells count="8">
    <mergeCell ref="A5:D5"/>
    <mergeCell ref="E5:F5"/>
    <mergeCell ref="K5:K6"/>
    <mergeCell ref="A1:K1"/>
    <mergeCell ref="A2:K2"/>
    <mergeCell ref="A3:K3"/>
    <mergeCell ref="A4:H4"/>
    <mergeCell ref="J4:K4"/>
  </mergeCells>
  <phoneticPr fontId="30" type="noConversion"/>
  <printOptions horizontalCentered="1"/>
  <pageMargins left="0.25" right="0.25" top="0.75" bottom="0.75" header="0" footer="0"/>
  <pageSetup paperSize="9" pageOrder="overThenDown" orientation="portrait" cellComments="atEnd"/>
  <headerFooter>
    <oddFooter>&amp;L&amp;A&amp;R&amp;P</oddFooter>
  </headerFooter>
  <rowBreaks count="4" manualBreakCount="4">
    <brk id="103" man="1"/>
    <brk id="41" man="1"/>
    <brk id="62" man="1"/>
    <brk id="31" man="1"/>
  </rowBreaks>
  <colBreaks count="1" manualBreakCount="1">
    <brk id="1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149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" customHeight="1"/>
  <cols>
    <col min="1" max="4" width="2.140625" customWidth="1"/>
    <col min="5" max="5" width="4.7109375" customWidth="1"/>
    <col min="6" max="6" width="24.5703125" customWidth="1"/>
    <col min="7" max="7" width="14.85546875" bestFit="1" customWidth="1"/>
    <col min="8" max="8" width="13.85546875" bestFit="1" customWidth="1"/>
    <col min="9" max="9" width="14.85546875" bestFit="1" customWidth="1"/>
    <col min="10" max="10" width="13.28515625" bestFit="1" customWidth="1"/>
    <col min="11" max="11" width="13.140625" bestFit="1" customWidth="1"/>
    <col min="12" max="12" width="13.85546875" bestFit="1" customWidth="1"/>
    <col min="13" max="13" width="32.28515625" customWidth="1"/>
    <col min="14" max="14" width="19.42578125" customWidth="1"/>
  </cols>
  <sheetData>
    <row r="1" spans="1:14" ht="15.75" customHeight="1">
      <c r="A1" s="594" t="s">
        <v>0</v>
      </c>
      <c r="B1" s="569"/>
      <c r="C1" s="569"/>
      <c r="D1" s="569"/>
      <c r="E1" s="569"/>
      <c r="F1" s="569"/>
      <c r="G1" s="569"/>
      <c r="H1" s="569"/>
      <c r="I1" s="569"/>
      <c r="J1" s="569"/>
      <c r="K1" s="569"/>
      <c r="L1" s="569"/>
      <c r="M1" s="569"/>
      <c r="N1" s="569"/>
    </row>
    <row r="2" spans="1:14" ht="15.75" customHeight="1">
      <c r="A2" s="594" t="s">
        <v>102</v>
      </c>
      <c r="B2" s="569"/>
      <c r="C2" s="569"/>
      <c r="D2" s="569"/>
      <c r="E2" s="569"/>
      <c r="F2" s="569"/>
      <c r="G2" s="569"/>
      <c r="H2" s="569"/>
      <c r="I2" s="569"/>
      <c r="J2" s="569"/>
      <c r="K2" s="569"/>
      <c r="L2" s="569"/>
      <c r="M2" s="569"/>
      <c r="N2" s="569"/>
    </row>
    <row r="3" spans="1:14" ht="15.75" customHeight="1">
      <c r="A3" s="570" t="s">
        <v>2</v>
      </c>
      <c r="B3" s="569"/>
      <c r="C3" s="569"/>
      <c r="D3" s="569"/>
      <c r="E3" s="569"/>
      <c r="F3" s="569"/>
      <c r="G3" s="569"/>
      <c r="H3" s="569"/>
      <c r="I3" s="569"/>
      <c r="J3" s="569"/>
      <c r="K3" s="569"/>
      <c r="L3" s="569"/>
      <c r="M3" s="569"/>
      <c r="N3" s="569"/>
    </row>
    <row r="4" spans="1:14" ht="15.75" customHeight="1">
      <c r="A4" s="585" t="s">
        <v>3</v>
      </c>
      <c r="B4" s="569"/>
      <c r="C4" s="569"/>
      <c r="D4" s="569"/>
      <c r="E4" s="569"/>
      <c r="F4" s="569"/>
      <c r="G4" s="569"/>
      <c r="H4" s="569"/>
      <c r="I4" s="569"/>
      <c r="J4" s="569"/>
      <c r="K4" s="159"/>
      <c r="L4" s="160"/>
      <c r="M4" s="595"/>
      <c r="N4" s="569"/>
    </row>
    <row r="5" spans="1:14" ht="15.75" customHeight="1">
      <c r="A5" s="596" t="s">
        <v>38</v>
      </c>
      <c r="B5" s="569"/>
      <c r="C5" s="569"/>
      <c r="D5" s="569"/>
      <c r="E5" s="596" t="s">
        <v>39</v>
      </c>
      <c r="F5" s="569"/>
      <c r="G5" s="161" t="s">
        <v>103</v>
      </c>
      <c r="H5" s="162" t="s">
        <v>103</v>
      </c>
      <c r="I5" s="161" t="s">
        <v>103</v>
      </c>
      <c r="J5" s="162" t="s">
        <v>103</v>
      </c>
      <c r="K5" s="161" t="s">
        <v>103</v>
      </c>
      <c r="L5" s="162" t="s">
        <v>103</v>
      </c>
      <c r="M5" s="591" t="s">
        <v>11</v>
      </c>
      <c r="N5" s="592" t="s">
        <v>104</v>
      </c>
    </row>
    <row r="6" spans="1:14" ht="15.75" customHeight="1">
      <c r="A6" s="143" t="s">
        <v>9</v>
      </c>
      <c r="B6" s="143" t="s">
        <v>10</v>
      </c>
      <c r="C6" s="143" t="s">
        <v>33</v>
      </c>
      <c r="D6" s="143" t="s">
        <v>35</v>
      </c>
      <c r="E6" s="143" t="s">
        <v>43</v>
      </c>
      <c r="F6" s="161" t="s">
        <v>44</v>
      </c>
      <c r="G6" s="161" t="s">
        <v>12</v>
      </c>
      <c r="H6" s="162" t="s">
        <v>105</v>
      </c>
      <c r="I6" s="161" t="s">
        <v>106</v>
      </c>
      <c r="J6" s="162" t="s">
        <v>13</v>
      </c>
      <c r="K6" s="161" t="s">
        <v>107</v>
      </c>
      <c r="L6" s="162" t="s">
        <v>108</v>
      </c>
      <c r="M6" s="590"/>
      <c r="N6" s="593"/>
    </row>
    <row r="7" spans="1:14" ht="15.75" customHeight="1">
      <c r="A7" s="143"/>
      <c r="B7" s="143"/>
      <c r="C7" s="143"/>
      <c r="D7" s="143"/>
      <c r="E7" s="143"/>
      <c r="F7" s="163" t="s">
        <v>14</v>
      </c>
      <c r="G7" s="164">
        <f>G9</f>
        <v>2439553</v>
      </c>
      <c r="H7" s="165">
        <v>1</v>
      </c>
      <c r="I7" s="164">
        <f>I9+I128+I140</f>
        <v>2589130</v>
      </c>
      <c r="J7" s="166">
        <v>1</v>
      </c>
      <c r="K7" s="167">
        <f>I7-G7</f>
        <v>149577</v>
      </c>
      <c r="L7" s="166">
        <f>G7/I7</f>
        <v>0.94222885679745705</v>
      </c>
      <c r="M7" s="142"/>
      <c r="N7" s="168"/>
    </row>
    <row r="8" spans="1:14" ht="15.75" customHeight="1">
      <c r="A8" s="143"/>
      <c r="B8" s="143"/>
      <c r="C8" s="143"/>
      <c r="D8" s="143"/>
      <c r="E8" s="143"/>
      <c r="F8" s="163"/>
      <c r="G8" s="164"/>
      <c r="H8" s="165"/>
      <c r="I8" s="164"/>
      <c r="J8" s="165"/>
      <c r="K8" s="169"/>
      <c r="L8" s="165"/>
      <c r="M8" s="142"/>
      <c r="N8" s="170"/>
    </row>
    <row r="9" spans="1:14" ht="15.75" customHeight="1">
      <c r="A9" s="171" t="s">
        <v>45</v>
      </c>
      <c r="B9" s="171" t="s">
        <v>46</v>
      </c>
      <c r="C9" s="171" t="s">
        <v>46</v>
      </c>
      <c r="D9" s="171" t="s">
        <v>46</v>
      </c>
      <c r="E9" s="171"/>
      <c r="F9" s="172" t="s">
        <v>15</v>
      </c>
      <c r="G9" s="173">
        <f>SUM(G11,G22,G27,G32,G38,G69,G81,G88,G99,G119,)</f>
        <v>2439553</v>
      </c>
      <c r="H9" s="174">
        <v>1</v>
      </c>
      <c r="I9" s="173">
        <f>I11+I22+I27+I32+I38+I69+I81+I88+I99+I119</f>
        <v>2589130</v>
      </c>
      <c r="J9" s="174">
        <f>I9/$I$7</f>
        <v>1</v>
      </c>
      <c r="K9" s="175">
        <f>K11+K69+K99</f>
        <v>-38681</v>
      </c>
      <c r="L9" s="174">
        <f>G9/I9</f>
        <v>0.94222885679745705</v>
      </c>
      <c r="M9" s="176"/>
      <c r="N9" s="177"/>
    </row>
    <row r="10" spans="1:14" ht="15.75" customHeight="1">
      <c r="A10" s="143"/>
      <c r="B10" s="143"/>
      <c r="C10" s="143"/>
      <c r="D10" s="143"/>
      <c r="E10" s="143"/>
      <c r="F10" s="142"/>
      <c r="G10" s="178"/>
      <c r="H10" s="96"/>
      <c r="I10" s="178"/>
      <c r="J10" s="96"/>
      <c r="K10" s="142"/>
      <c r="L10" s="96"/>
      <c r="M10" s="142"/>
      <c r="N10" s="170"/>
    </row>
    <row r="11" spans="1:14" ht="15.75" customHeight="1">
      <c r="A11" s="179"/>
      <c r="B11" s="171" t="s">
        <v>45</v>
      </c>
      <c r="C11" s="171" t="s">
        <v>46</v>
      </c>
      <c r="D11" s="171" t="s">
        <v>46</v>
      </c>
      <c r="E11" s="179"/>
      <c r="F11" s="172" t="s">
        <v>16</v>
      </c>
      <c r="G11" s="175">
        <f>SUM(G13,G19,G20)</f>
        <v>2133763</v>
      </c>
      <c r="H11" s="174">
        <f>G11/G9</f>
        <v>0.87465326639757368</v>
      </c>
      <c r="I11" s="175">
        <f>SUM(I13,I19,I20)</f>
        <v>2095497</v>
      </c>
      <c r="J11" s="174">
        <f>I11/$I$9</f>
        <v>0.80934406538103532</v>
      </c>
      <c r="K11" s="175">
        <f>SUM(K13,K19,K20)</f>
        <v>38266</v>
      </c>
      <c r="L11" s="174">
        <f>G11/I11</f>
        <v>1.0182610616956265</v>
      </c>
      <c r="M11" s="180"/>
      <c r="N11" s="181"/>
    </row>
    <row r="12" spans="1:14" ht="15.75" customHeight="1">
      <c r="A12" s="182"/>
      <c r="B12" s="182"/>
      <c r="C12" s="183"/>
      <c r="D12" s="183"/>
      <c r="E12" s="182"/>
      <c r="F12" s="184"/>
      <c r="G12" s="185"/>
      <c r="H12" s="186"/>
      <c r="I12" s="185"/>
      <c r="J12" s="187"/>
      <c r="K12" s="188"/>
      <c r="L12" s="187"/>
      <c r="M12" s="189"/>
      <c r="N12" s="190"/>
    </row>
    <row r="13" spans="1:14" ht="15.75" customHeight="1">
      <c r="A13" s="182"/>
      <c r="B13" s="182"/>
      <c r="C13" s="183" t="s">
        <v>46</v>
      </c>
      <c r="D13" s="183" t="s">
        <v>45</v>
      </c>
      <c r="E13" s="182"/>
      <c r="F13" s="184" t="s">
        <v>47</v>
      </c>
      <c r="G13" s="185">
        <f>SUM(G14:G18)</f>
        <v>2133763</v>
      </c>
      <c r="H13" s="186">
        <f>G13/$G$11</f>
        <v>1</v>
      </c>
      <c r="I13" s="185">
        <f>I14+I17</f>
        <v>2095497</v>
      </c>
      <c r="J13" s="187">
        <f t="shared" ref="J13:J14" si="0">I13/$I$11</f>
        <v>1</v>
      </c>
      <c r="K13" s="191">
        <f t="shared" ref="K13:K17" si="1">G13-I13</f>
        <v>38266</v>
      </c>
      <c r="L13" s="187">
        <f t="shared" ref="L13:L14" si="2">G13/I13</f>
        <v>1.0182610616956265</v>
      </c>
      <c r="M13" s="189"/>
      <c r="N13" s="190"/>
    </row>
    <row r="14" spans="1:14" ht="15.75" customHeight="1">
      <c r="A14" s="182"/>
      <c r="B14" s="182"/>
      <c r="C14" s="183"/>
      <c r="D14" s="183"/>
      <c r="E14" s="143" t="s">
        <v>109</v>
      </c>
      <c r="F14" s="184" t="s">
        <v>110</v>
      </c>
      <c r="G14" s="191">
        <v>0</v>
      </c>
      <c r="H14" s="186">
        <f>G14/G13</f>
        <v>0</v>
      </c>
      <c r="I14" s="191">
        <v>1217715</v>
      </c>
      <c r="J14" s="187">
        <f t="shared" si="0"/>
        <v>0.58111035234123454</v>
      </c>
      <c r="K14" s="191">
        <f t="shared" si="1"/>
        <v>-1217715</v>
      </c>
      <c r="L14" s="187">
        <f t="shared" si="2"/>
        <v>0</v>
      </c>
      <c r="M14" s="189"/>
      <c r="N14" s="190"/>
    </row>
    <row r="15" spans="1:14" ht="15.75" customHeight="1">
      <c r="A15" s="143"/>
      <c r="B15" s="143"/>
      <c r="C15" s="143"/>
      <c r="D15" s="143"/>
      <c r="E15" s="143" t="s">
        <v>111</v>
      </c>
      <c r="F15" s="142" t="s">
        <v>112</v>
      </c>
      <c r="G15" s="191">
        <v>0</v>
      </c>
      <c r="H15" s="186">
        <f>G15/G13</f>
        <v>0</v>
      </c>
      <c r="I15" s="191">
        <v>0</v>
      </c>
      <c r="J15" s="187">
        <f t="shared" ref="J15:J17" si="3">I15/$I$13</f>
        <v>0</v>
      </c>
      <c r="K15" s="191">
        <f t="shared" si="1"/>
        <v>0</v>
      </c>
      <c r="L15" s="187">
        <v>0</v>
      </c>
      <c r="M15" s="142" t="s">
        <v>113</v>
      </c>
      <c r="N15" s="170"/>
    </row>
    <row r="16" spans="1:14" ht="15.75" customHeight="1">
      <c r="A16" s="143"/>
      <c r="B16" s="143"/>
      <c r="C16" s="143"/>
      <c r="D16" s="143"/>
      <c r="E16" s="143" t="s">
        <v>114</v>
      </c>
      <c r="F16" s="142" t="s">
        <v>115</v>
      </c>
      <c r="G16" s="191">
        <v>38266</v>
      </c>
      <c r="H16" s="186">
        <f>G16/G13</f>
        <v>1.7933575565796202E-2</v>
      </c>
      <c r="I16" s="191">
        <v>0</v>
      </c>
      <c r="J16" s="187">
        <f t="shared" si="3"/>
        <v>0</v>
      </c>
      <c r="K16" s="191">
        <f t="shared" si="1"/>
        <v>38266</v>
      </c>
      <c r="L16" s="187">
        <v>1</v>
      </c>
      <c r="M16" s="142"/>
      <c r="N16" s="170"/>
    </row>
    <row r="17" spans="1:14" ht="15.75" customHeight="1">
      <c r="A17" s="192"/>
      <c r="B17" s="192"/>
      <c r="C17" s="192"/>
      <c r="D17" s="192"/>
      <c r="E17" s="192" t="s">
        <v>116</v>
      </c>
      <c r="F17" s="193" t="s">
        <v>117</v>
      </c>
      <c r="G17" s="191">
        <v>2095497</v>
      </c>
      <c r="H17" s="186">
        <f>G17/G13</f>
        <v>0.98206642443420378</v>
      </c>
      <c r="I17" s="191">
        <v>877782</v>
      </c>
      <c r="J17" s="194">
        <f t="shared" si="3"/>
        <v>0.41888964765876546</v>
      </c>
      <c r="K17" s="191">
        <f t="shared" si="1"/>
        <v>1217715</v>
      </c>
      <c r="L17" s="187">
        <f>G17/I17</f>
        <v>2.3872635802511328</v>
      </c>
      <c r="M17" s="195" t="s">
        <v>118</v>
      </c>
      <c r="N17" s="196"/>
    </row>
    <row r="18" spans="1:14" ht="15.75" customHeight="1">
      <c r="A18" s="192"/>
      <c r="B18" s="192"/>
      <c r="C18" s="192"/>
      <c r="D18" s="192"/>
      <c r="E18" s="192"/>
      <c r="F18" s="193"/>
      <c r="G18" s="197"/>
      <c r="H18" s="198"/>
      <c r="I18" s="197"/>
      <c r="J18" s="194"/>
      <c r="K18" s="199"/>
      <c r="L18" s="194"/>
      <c r="M18" s="195" t="s">
        <v>119</v>
      </c>
      <c r="N18" s="196"/>
    </row>
    <row r="19" spans="1:14" ht="15.75" customHeight="1">
      <c r="A19" s="192"/>
      <c r="B19" s="192"/>
      <c r="C19" s="192" t="s">
        <v>46</v>
      </c>
      <c r="D19" s="192" t="s">
        <v>48</v>
      </c>
      <c r="E19" s="192"/>
      <c r="F19" s="193" t="s">
        <v>49</v>
      </c>
      <c r="G19" s="191">
        <v>0</v>
      </c>
      <c r="H19" s="187">
        <v>0</v>
      </c>
      <c r="I19" s="191">
        <v>0</v>
      </c>
      <c r="J19" s="187">
        <v>0</v>
      </c>
      <c r="K19" s="191">
        <f t="shared" ref="K19:K20" si="4">G19-I19</f>
        <v>0</v>
      </c>
      <c r="L19" s="187">
        <v>0</v>
      </c>
      <c r="M19" s="195"/>
      <c r="N19" s="196"/>
    </row>
    <row r="20" spans="1:14" ht="15.75" customHeight="1">
      <c r="A20" s="144"/>
      <c r="B20" s="144"/>
      <c r="C20" s="143" t="s">
        <v>50</v>
      </c>
      <c r="D20" s="143" t="s">
        <v>50</v>
      </c>
      <c r="E20" s="144"/>
      <c r="F20" s="184" t="s">
        <v>51</v>
      </c>
      <c r="G20" s="191">
        <v>0</v>
      </c>
      <c r="H20" s="187">
        <v>0</v>
      </c>
      <c r="I20" s="191">
        <v>0</v>
      </c>
      <c r="J20" s="187">
        <f>I20/$I$11</f>
        <v>0</v>
      </c>
      <c r="K20" s="191">
        <f t="shared" si="4"/>
        <v>0</v>
      </c>
      <c r="L20" s="187">
        <v>0</v>
      </c>
      <c r="M20" s="142"/>
      <c r="N20" s="200"/>
    </row>
    <row r="21" spans="1:14" ht="15.75" customHeight="1">
      <c r="A21" s="143"/>
      <c r="B21" s="143"/>
      <c r="C21" s="143"/>
      <c r="D21" s="143"/>
      <c r="E21" s="143"/>
      <c r="F21" s="184"/>
      <c r="G21" s="201"/>
      <c r="H21" s="202"/>
      <c r="I21" s="201"/>
      <c r="J21" s="96"/>
      <c r="K21" s="142"/>
      <c r="L21" s="96"/>
      <c r="M21" s="142"/>
      <c r="N21" s="170"/>
    </row>
    <row r="22" spans="1:14" ht="15.75" customHeight="1">
      <c r="A22" s="179"/>
      <c r="B22" s="171" t="s">
        <v>48</v>
      </c>
      <c r="C22" s="171" t="s">
        <v>46</v>
      </c>
      <c r="D22" s="171" t="s">
        <v>46</v>
      </c>
      <c r="E22" s="179"/>
      <c r="F22" s="172" t="s">
        <v>17</v>
      </c>
      <c r="G22" s="175">
        <v>0</v>
      </c>
      <c r="H22" s="174">
        <v>0</v>
      </c>
      <c r="I22" s="175">
        <v>0</v>
      </c>
      <c r="J22" s="174">
        <f>I22/$I$9</f>
        <v>0</v>
      </c>
      <c r="K22" s="175">
        <v>0</v>
      </c>
      <c r="L22" s="174">
        <v>0</v>
      </c>
      <c r="M22" s="180"/>
      <c r="N22" s="181"/>
    </row>
    <row r="23" spans="1:14" ht="15.75" customHeight="1">
      <c r="A23" s="144"/>
      <c r="B23" s="144"/>
      <c r="C23" s="143"/>
      <c r="D23" s="143"/>
      <c r="E23" s="144"/>
      <c r="F23" s="142"/>
      <c r="G23" s="191"/>
      <c r="H23" s="187"/>
      <c r="I23" s="191"/>
      <c r="J23" s="203"/>
      <c r="K23" s="204"/>
      <c r="L23" s="203"/>
      <c r="M23" s="189"/>
      <c r="N23" s="200"/>
    </row>
    <row r="24" spans="1:14" ht="15.75" customHeight="1">
      <c r="A24" s="144"/>
      <c r="B24" s="144"/>
      <c r="C24" s="143" t="s">
        <v>46</v>
      </c>
      <c r="D24" s="143" t="s">
        <v>45</v>
      </c>
      <c r="E24" s="144"/>
      <c r="F24" s="142" t="s">
        <v>47</v>
      </c>
      <c r="G24" s="191">
        <v>0</v>
      </c>
      <c r="H24" s="187">
        <v>0</v>
      </c>
      <c r="I24" s="191">
        <v>0</v>
      </c>
      <c r="J24" s="187">
        <v>0</v>
      </c>
      <c r="K24" s="191">
        <f t="shared" ref="K24:K25" si="5">G24-I24</f>
        <v>0</v>
      </c>
      <c r="L24" s="187">
        <v>0</v>
      </c>
      <c r="M24" s="189"/>
      <c r="N24" s="200"/>
    </row>
    <row r="25" spans="1:14" ht="15.75" customHeight="1">
      <c r="A25" s="144"/>
      <c r="B25" s="144"/>
      <c r="C25" s="143" t="s">
        <v>50</v>
      </c>
      <c r="D25" s="143" t="s">
        <v>50</v>
      </c>
      <c r="E25" s="144"/>
      <c r="F25" s="142" t="s">
        <v>51</v>
      </c>
      <c r="G25" s="191">
        <v>0</v>
      </c>
      <c r="H25" s="187">
        <v>0</v>
      </c>
      <c r="I25" s="191">
        <v>0</v>
      </c>
      <c r="J25" s="187">
        <v>0</v>
      </c>
      <c r="K25" s="191">
        <f t="shared" si="5"/>
        <v>0</v>
      </c>
      <c r="L25" s="187">
        <v>0</v>
      </c>
      <c r="M25" s="142"/>
      <c r="N25" s="200"/>
    </row>
    <row r="26" spans="1:14" ht="15.75" customHeight="1">
      <c r="A26" s="143"/>
      <c r="B26" s="143"/>
      <c r="C26" s="143"/>
      <c r="D26" s="143"/>
      <c r="E26" s="143"/>
      <c r="F26" s="142"/>
      <c r="G26" s="191"/>
      <c r="H26" s="187"/>
      <c r="I26" s="191"/>
      <c r="J26" s="96"/>
      <c r="K26" s="142"/>
      <c r="L26" s="96"/>
      <c r="M26" s="142"/>
      <c r="N26" s="170"/>
    </row>
    <row r="27" spans="1:14" ht="15.75" customHeight="1">
      <c r="A27" s="179"/>
      <c r="B27" s="171" t="s">
        <v>52</v>
      </c>
      <c r="C27" s="171" t="s">
        <v>46</v>
      </c>
      <c r="D27" s="171" t="s">
        <v>46</v>
      </c>
      <c r="E27" s="179"/>
      <c r="F27" s="172" t="s">
        <v>18</v>
      </c>
      <c r="G27" s="175">
        <v>0</v>
      </c>
      <c r="H27" s="174">
        <v>0</v>
      </c>
      <c r="I27" s="175">
        <v>0</v>
      </c>
      <c r="J27" s="174">
        <f>I27/$I$9</f>
        <v>0</v>
      </c>
      <c r="K27" s="175">
        <v>0</v>
      </c>
      <c r="L27" s="174">
        <v>0</v>
      </c>
      <c r="M27" s="180"/>
      <c r="N27" s="181"/>
    </row>
    <row r="28" spans="1:14" ht="15.75" customHeight="1">
      <c r="A28" s="144"/>
      <c r="B28" s="144"/>
      <c r="C28" s="143"/>
      <c r="D28" s="143"/>
      <c r="E28" s="144"/>
      <c r="F28" s="142"/>
      <c r="G28" s="191"/>
      <c r="H28" s="187"/>
      <c r="I28" s="191"/>
      <c r="J28" s="187"/>
      <c r="K28" s="188"/>
      <c r="L28" s="187"/>
      <c r="M28" s="189"/>
      <c r="N28" s="200"/>
    </row>
    <row r="29" spans="1:14" ht="15.75" customHeight="1">
      <c r="A29" s="144"/>
      <c r="B29" s="144"/>
      <c r="C29" s="143" t="s">
        <v>46</v>
      </c>
      <c r="D29" s="143" t="s">
        <v>45</v>
      </c>
      <c r="E29" s="144"/>
      <c r="F29" s="142" t="s">
        <v>47</v>
      </c>
      <c r="G29" s="191">
        <v>0</v>
      </c>
      <c r="H29" s="187">
        <v>0</v>
      </c>
      <c r="I29" s="191">
        <v>0</v>
      </c>
      <c r="J29" s="187">
        <v>0</v>
      </c>
      <c r="K29" s="191">
        <f t="shared" ref="K29:K30" si="6">G29-I29</f>
        <v>0</v>
      </c>
      <c r="L29" s="187">
        <v>0</v>
      </c>
      <c r="M29" s="189"/>
      <c r="N29" s="200"/>
    </row>
    <row r="30" spans="1:14" ht="15.75" customHeight="1">
      <c r="A30" s="144"/>
      <c r="B30" s="144"/>
      <c r="C30" s="143" t="s">
        <v>50</v>
      </c>
      <c r="D30" s="143" t="s">
        <v>50</v>
      </c>
      <c r="E30" s="144"/>
      <c r="F30" s="142" t="s">
        <v>51</v>
      </c>
      <c r="G30" s="191">
        <v>0</v>
      </c>
      <c r="H30" s="187">
        <v>0</v>
      </c>
      <c r="I30" s="191">
        <v>0</v>
      </c>
      <c r="J30" s="187">
        <v>0</v>
      </c>
      <c r="K30" s="191">
        <f t="shared" si="6"/>
        <v>0</v>
      </c>
      <c r="L30" s="187">
        <v>0</v>
      </c>
      <c r="M30" s="142"/>
      <c r="N30" s="200"/>
    </row>
    <row r="31" spans="1:14" ht="15.75" customHeight="1">
      <c r="A31" s="143"/>
      <c r="B31" s="143"/>
      <c r="C31" s="143"/>
      <c r="D31" s="143"/>
      <c r="E31" s="143"/>
      <c r="F31" s="142"/>
      <c r="G31" s="191"/>
      <c r="H31" s="187"/>
      <c r="I31" s="191"/>
      <c r="J31" s="96"/>
      <c r="K31" s="142"/>
      <c r="L31" s="96"/>
      <c r="M31" s="142"/>
      <c r="N31" s="170"/>
    </row>
    <row r="32" spans="1:14" ht="15.75" customHeight="1">
      <c r="A32" s="179"/>
      <c r="B32" s="171" t="s">
        <v>53</v>
      </c>
      <c r="C32" s="171" t="s">
        <v>46</v>
      </c>
      <c r="D32" s="171" t="s">
        <v>46</v>
      </c>
      <c r="E32" s="179"/>
      <c r="F32" s="172" t="s">
        <v>19</v>
      </c>
      <c r="G32" s="175">
        <f>SUM(G34,G35,G36)</f>
        <v>109104</v>
      </c>
      <c r="H32" s="174">
        <v>0</v>
      </c>
      <c r="I32" s="175">
        <f>SUM(I35)</f>
        <v>220000</v>
      </c>
      <c r="J32" s="174">
        <f>I32/$I$9</f>
        <v>8.4970627199097773E-2</v>
      </c>
      <c r="K32" s="175">
        <f>SUM(K34:K36)</f>
        <v>-110896</v>
      </c>
      <c r="L32" s="174">
        <v>0</v>
      </c>
      <c r="M32" s="180"/>
      <c r="N32" s="181"/>
    </row>
    <row r="33" spans="1:14" ht="15.75" customHeight="1">
      <c r="A33" s="144"/>
      <c r="B33" s="144"/>
      <c r="C33" s="143"/>
      <c r="D33" s="143"/>
      <c r="E33" s="144"/>
      <c r="F33" s="142"/>
      <c r="G33" s="191"/>
      <c r="H33" s="187"/>
      <c r="I33" s="191"/>
      <c r="J33" s="187"/>
      <c r="K33" s="188"/>
      <c r="L33" s="187"/>
      <c r="M33" s="189"/>
      <c r="N33" s="200"/>
    </row>
    <row r="34" spans="1:14" ht="15.75" customHeight="1">
      <c r="A34" s="144"/>
      <c r="B34" s="144"/>
      <c r="C34" s="143" t="s">
        <v>46</v>
      </c>
      <c r="D34" s="143" t="s">
        <v>45</v>
      </c>
      <c r="E34" s="144"/>
      <c r="F34" s="142" t="s">
        <v>47</v>
      </c>
      <c r="G34" s="191">
        <v>0</v>
      </c>
      <c r="H34" s="187">
        <v>0</v>
      </c>
      <c r="I34" s="191">
        <v>0</v>
      </c>
      <c r="J34" s="187">
        <v>0</v>
      </c>
      <c r="K34" s="191">
        <f t="shared" ref="K34:K36" si="7">G34-I34</f>
        <v>0</v>
      </c>
      <c r="L34" s="187">
        <v>0</v>
      </c>
      <c r="M34" s="189"/>
      <c r="N34" s="200"/>
    </row>
    <row r="35" spans="1:14" ht="15.75" customHeight="1">
      <c r="A35" s="144"/>
      <c r="B35" s="144"/>
      <c r="C35" s="143" t="s">
        <v>46</v>
      </c>
      <c r="D35" s="143" t="s">
        <v>48</v>
      </c>
      <c r="E35" s="144"/>
      <c r="F35" s="142" t="s">
        <v>54</v>
      </c>
      <c r="G35" s="191">
        <v>109104</v>
      </c>
      <c r="H35" s="187">
        <f>G35/$G$32</f>
        <v>1</v>
      </c>
      <c r="I35" s="191">
        <v>220000</v>
      </c>
      <c r="J35" s="187">
        <f>I35/I32</f>
        <v>1</v>
      </c>
      <c r="K35" s="191">
        <f t="shared" si="7"/>
        <v>-110896</v>
      </c>
      <c r="L35" s="187">
        <f>G35/I35</f>
        <v>0.49592727272727272</v>
      </c>
      <c r="M35" s="189"/>
      <c r="N35" s="200"/>
    </row>
    <row r="36" spans="1:14" ht="15.75" customHeight="1">
      <c r="A36" s="144"/>
      <c r="B36" s="144"/>
      <c r="C36" s="143" t="s">
        <v>50</v>
      </c>
      <c r="D36" s="143" t="s">
        <v>50</v>
      </c>
      <c r="E36" s="144"/>
      <c r="F36" s="142" t="s">
        <v>51</v>
      </c>
      <c r="G36" s="191">
        <v>0</v>
      </c>
      <c r="H36" s="187">
        <v>0</v>
      </c>
      <c r="I36" s="191">
        <v>0</v>
      </c>
      <c r="J36" s="187">
        <v>0</v>
      </c>
      <c r="K36" s="191">
        <f t="shared" si="7"/>
        <v>0</v>
      </c>
      <c r="L36" s="187">
        <v>0</v>
      </c>
      <c r="M36" s="142"/>
      <c r="N36" s="200"/>
    </row>
    <row r="37" spans="1:14" ht="15.75" customHeight="1">
      <c r="A37" s="143"/>
      <c r="B37" s="143"/>
      <c r="C37" s="143"/>
      <c r="D37" s="143"/>
      <c r="E37" s="143"/>
      <c r="F37" s="142"/>
      <c r="G37" s="191"/>
      <c r="H37" s="187"/>
      <c r="I37" s="191"/>
      <c r="J37" s="96"/>
      <c r="K37" s="142"/>
      <c r="L37" s="96"/>
      <c r="M37" s="142"/>
      <c r="N37" s="170"/>
    </row>
    <row r="38" spans="1:14" ht="15.75" customHeight="1">
      <c r="A38" s="179"/>
      <c r="B38" s="171" t="s">
        <v>55</v>
      </c>
      <c r="C38" s="171" t="s">
        <v>46</v>
      </c>
      <c r="D38" s="171" t="s">
        <v>46</v>
      </c>
      <c r="E38" s="179"/>
      <c r="F38" s="172" t="s">
        <v>20</v>
      </c>
      <c r="G38" s="175">
        <v>0</v>
      </c>
      <c r="H38" s="174">
        <v>0</v>
      </c>
      <c r="I38" s="175">
        <v>0</v>
      </c>
      <c r="J38" s="174">
        <f>I38/$I$9</f>
        <v>0</v>
      </c>
      <c r="K38" s="175">
        <v>0</v>
      </c>
      <c r="L38" s="174">
        <v>0</v>
      </c>
      <c r="M38" s="180"/>
      <c r="N38" s="181"/>
    </row>
    <row r="39" spans="1:14" ht="15.75" customHeight="1">
      <c r="A39" s="144"/>
      <c r="B39" s="144"/>
      <c r="C39" s="143"/>
      <c r="D39" s="143"/>
      <c r="E39" s="144"/>
      <c r="F39" s="142"/>
      <c r="G39" s="191"/>
      <c r="H39" s="187"/>
      <c r="I39" s="191"/>
      <c r="J39" s="187"/>
      <c r="K39" s="188"/>
      <c r="L39" s="187"/>
      <c r="M39" s="189"/>
      <c r="N39" s="200"/>
    </row>
    <row r="40" spans="1:14" ht="15.75" customHeight="1">
      <c r="A40" s="144"/>
      <c r="B40" s="144"/>
      <c r="C40" s="143" t="s">
        <v>46</v>
      </c>
      <c r="D40" s="143" t="s">
        <v>45</v>
      </c>
      <c r="E40" s="144"/>
      <c r="F40" s="142" t="s">
        <v>47</v>
      </c>
      <c r="G40" s="191">
        <v>0</v>
      </c>
      <c r="H40" s="187">
        <v>0</v>
      </c>
      <c r="I40" s="191">
        <v>0</v>
      </c>
      <c r="J40" s="187">
        <v>0</v>
      </c>
      <c r="K40" s="191">
        <f>G40-I40</f>
        <v>0</v>
      </c>
      <c r="L40" s="187">
        <v>0</v>
      </c>
      <c r="M40" s="189"/>
      <c r="N40" s="200"/>
    </row>
    <row r="41" spans="1:14" ht="15.75" customHeight="1">
      <c r="A41" s="144"/>
      <c r="B41" s="144"/>
      <c r="C41" s="143"/>
      <c r="D41" s="143"/>
      <c r="E41" s="144"/>
      <c r="F41" s="142"/>
      <c r="G41" s="191"/>
      <c r="H41" s="187"/>
      <c r="I41" s="191"/>
      <c r="J41" s="187"/>
      <c r="K41" s="191"/>
      <c r="L41" s="187"/>
      <c r="M41" s="189"/>
      <c r="N41" s="200"/>
    </row>
    <row r="42" spans="1:14" ht="15.75" customHeight="1">
      <c r="A42" s="205"/>
      <c r="B42" s="205"/>
      <c r="C42" s="206" t="s">
        <v>45</v>
      </c>
      <c r="D42" s="206" t="s">
        <v>46</v>
      </c>
      <c r="E42" s="205"/>
      <c r="F42" s="207" t="s">
        <v>56</v>
      </c>
      <c r="G42" s="208">
        <v>0</v>
      </c>
      <c r="H42" s="209">
        <v>0</v>
      </c>
      <c r="I42" s="208">
        <v>0</v>
      </c>
      <c r="J42" s="209">
        <v>0</v>
      </c>
      <c r="K42" s="208">
        <f t="shared" ref="K42:K48" si="8">G42-I42</f>
        <v>0</v>
      </c>
      <c r="L42" s="209">
        <v>0</v>
      </c>
      <c r="M42" s="210"/>
      <c r="N42" s="211"/>
    </row>
    <row r="43" spans="1:14" ht="15.75" customHeight="1">
      <c r="A43" s="144"/>
      <c r="B43" s="144"/>
      <c r="C43" s="143"/>
      <c r="D43" s="143" t="s">
        <v>45</v>
      </c>
      <c r="E43" s="144"/>
      <c r="F43" s="142" t="s">
        <v>47</v>
      </c>
      <c r="G43" s="191">
        <v>0</v>
      </c>
      <c r="H43" s="187">
        <v>0</v>
      </c>
      <c r="I43" s="191">
        <v>0</v>
      </c>
      <c r="J43" s="187">
        <v>0</v>
      </c>
      <c r="K43" s="191">
        <f t="shared" si="8"/>
        <v>0</v>
      </c>
      <c r="L43" s="187">
        <v>0</v>
      </c>
      <c r="M43" s="189"/>
      <c r="N43" s="200"/>
    </row>
    <row r="44" spans="1:14" ht="18.75" customHeight="1">
      <c r="A44" s="144"/>
      <c r="B44" s="144"/>
      <c r="C44" s="143"/>
      <c r="D44" s="143" t="s">
        <v>48</v>
      </c>
      <c r="E44" s="144"/>
      <c r="F44" s="142" t="s">
        <v>57</v>
      </c>
      <c r="G44" s="191">
        <v>0</v>
      </c>
      <c r="H44" s="187">
        <v>0</v>
      </c>
      <c r="I44" s="191">
        <v>0</v>
      </c>
      <c r="J44" s="187">
        <v>0</v>
      </c>
      <c r="K44" s="191">
        <f t="shared" si="8"/>
        <v>0</v>
      </c>
      <c r="L44" s="187">
        <v>0</v>
      </c>
      <c r="M44" s="189"/>
      <c r="N44" s="200"/>
    </row>
    <row r="45" spans="1:14" ht="15.75" customHeight="1">
      <c r="A45" s="144"/>
      <c r="B45" s="144"/>
      <c r="C45" s="144"/>
      <c r="D45" s="143" t="s">
        <v>52</v>
      </c>
      <c r="E45" s="144"/>
      <c r="F45" s="212" t="s">
        <v>58</v>
      </c>
      <c r="G45" s="191">
        <v>0</v>
      </c>
      <c r="H45" s="187">
        <v>0</v>
      </c>
      <c r="I45" s="191">
        <v>0</v>
      </c>
      <c r="J45" s="187">
        <v>0</v>
      </c>
      <c r="K45" s="191">
        <f t="shared" si="8"/>
        <v>0</v>
      </c>
      <c r="L45" s="187">
        <v>0</v>
      </c>
      <c r="M45" s="189"/>
      <c r="N45" s="200"/>
    </row>
    <row r="46" spans="1:14" ht="15.75" customHeight="1">
      <c r="A46" s="144"/>
      <c r="B46" s="144"/>
      <c r="C46" s="144"/>
      <c r="D46" s="143" t="s">
        <v>53</v>
      </c>
      <c r="E46" s="144"/>
      <c r="F46" s="212" t="s">
        <v>59</v>
      </c>
      <c r="G46" s="191">
        <v>0</v>
      </c>
      <c r="H46" s="187">
        <v>0</v>
      </c>
      <c r="I46" s="191">
        <v>0</v>
      </c>
      <c r="J46" s="187">
        <v>0</v>
      </c>
      <c r="K46" s="191">
        <f t="shared" si="8"/>
        <v>0</v>
      </c>
      <c r="L46" s="187">
        <v>0</v>
      </c>
      <c r="M46" s="189"/>
      <c r="N46" s="200"/>
    </row>
    <row r="47" spans="1:14" ht="15.75" customHeight="1">
      <c r="A47" s="144"/>
      <c r="B47" s="144"/>
      <c r="C47" s="143"/>
      <c r="D47" s="143" t="s">
        <v>55</v>
      </c>
      <c r="E47" s="144"/>
      <c r="F47" s="142" t="s">
        <v>60</v>
      </c>
      <c r="G47" s="191">
        <v>0</v>
      </c>
      <c r="H47" s="187">
        <v>0</v>
      </c>
      <c r="I47" s="191">
        <v>0</v>
      </c>
      <c r="J47" s="187">
        <v>0</v>
      </c>
      <c r="K47" s="191">
        <f t="shared" si="8"/>
        <v>0</v>
      </c>
      <c r="L47" s="187">
        <v>0</v>
      </c>
      <c r="M47" s="189"/>
      <c r="N47" s="200"/>
    </row>
    <row r="48" spans="1:14" ht="15.75" customHeight="1">
      <c r="A48" s="144"/>
      <c r="B48" s="144"/>
      <c r="C48" s="143"/>
      <c r="D48" s="143" t="s">
        <v>61</v>
      </c>
      <c r="E48" s="144"/>
      <c r="F48" s="142" t="s">
        <v>62</v>
      </c>
      <c r="G48" s="191">
        <v>0</v>
      </c>
      <c r="H48" s="187">
        <v>0</v>
      </c>
      <c r="I48" s="191">
        <v>0</v>
      </c>
      <c r="J48" s="187">
        <v>0</v>
      </c>
      <c r="K48" s="191">
        <f t="shared" si="8"/>
        <v>0</v>
      </c>
      <c r="L48" s="187">
        <v>0</v>
      </c>
      <c r="M48" s="189"/>
      <c r="N48" s="200"/>
    </row>
    <row r="49" spans="1:14" ht="15.75" customHeight="1">
      <c r="A49" s="144"/>
      <c r="B49" s="144"/>
      <c r="C49" s="144"/>
      <c r="D49" s="143"/>
      <c r="E49" s="144"/>
      <c r="F49" s="142"/>
      <c r="G49" s="191"/>
      <c r="H49" s="187"/>
      <c r="I49" s="191"/>
      <c r="J49" s="187"/>
      <c r="K49" s="191"/>
      <c r="L49" s="187"/>
      <c r="M49" s="189"/>
      <c r="N49" s="200"/>
    </row>
    <row r="50" spans="1:14" ht="15.75" customHeight="1">
      <c r="A50" s="205"/>
      <c r="B50" s="205"/>
      <c r="C50" s="206" t="s">
        <v>48</v>
      </c>
      <c r="D50" s="206" t="s">
        <v>46</v>
      </c>
      <c r="E50" s="205"/>
      <c r="F50" s="213" t="s">
        <v>63</v>
      </c>
      <c r="G50" s="208">
        <v>0</v>
      </c>
      <c r="H50" s="209">
        <v>0</v>
      </c>
      <c r="I50" s="208">
        <v>0</v>
      </c>
      <c r="J50" s="209">
        <v>0</v>
      </c>
      <c r="K50" s="208">
        <f t="shared" ref="K50:K52" si="9">G50-I50</f>
        <v>0</v>
      </c>
      <c r="L50" s="209">
        <v>0</v>
      </c>
      <c r="M50" s="210"/>
      <c r="N50" s="211"/>
    </row>
    <row r="51" spans="1:14" ht="15.75" customHeight="1">
      <c r="A51" s="144"/>
      <c r="B51" s="144"/>
      <c r="C51" s="143"/>
      <c r="D51" s="143" t="s">
        <v>45</v>
      </c>
      <c r="E51" s="144"/>
      <c r="F51" s="212" t="s">
        <v>47</v>
      </c>
      <c r="G51" s="191">
        <v>0</v>
      </c>
      <c r="H51" s="187">
        <v>0</v>
      </c>
      <c r="I51" s="191">
        <v>0</v>
      </c>
      <c r="J51" s="187">
        <v>0</v>
      </c>
      <c r="K51" s="191">
        <f t="shared" si="9"/>
        <v>0</v>
      </c>
      <c r="L51" s="187">
        <v>0</v>
      </c>
      <c r="M51" s="189"/>
      <c r="N51" s="200"/>
    </row>
    <row r="52" spans="1:14" ht="15.75" customHeight="1">
      <c r="A52" s="144"/>
      <c r="B52" s="144"/>
      <c r="C52" s="143"/>
      <c r="D52" s="144" t="s">
        <v>48</v>
      </c>
      <c r="E52" s="144"/>
      <c r="F52" s="142" t="s">
        <v>64</v>
      </c>
      <c r="G52" s="191">
        <v>0</v>
      </c>
      <c r="H52" s="187">
        <v>0</v>
      </c>
      <c r="I52" s="191">
        <v>0</v>
      </c>
      <c r="J52" s="187">
        <v>0</v>
      </c>
      <c r="K52" s="191">
        <f t="shared" si="9"/>
        <v>0</v>
      </c>
      <c r="L52" s="187">
        <v>0</v>
      </c>
      <c r="M52" s="189"/>
      <c r="N52" s="200"/>
    </row>
    <row r="53" spans="1:14" ht="15.75" customHeight="1">
      <c r="A53" s="144"/>
      <c r="B53" s="144"/>
      <c r="C53" s="143"/>
      <c r="D53" s="144" t="s">
        <v>52</v>
      </c>
      <c r="E53" s="144"/>
      <c r="F53" s="142" t="s">
        <v>65</v>
      </c>
      <c r="G53" s="191">
        <v>0</v>
      </c>
      <c r="H53" s="187">
        <v>0</v>
      </c>
      <c r="I53" s="191">
        <v>0</v>
      </c>
      <c r="J53" s="187">
        <v>0</v>
      </c>
      <c r="K53" s="191">
        <v>0</v>
      </c>
      <c r="L53" s="187">
        <v>0</v>
      </c>
      <c r="M53" s="189"/>
      <c r="N53" s="200"/>
    </row>
    <row r="54" spans="1:14" ht="15.75" customHeight="1">
      <c r="A54" s="144"/>
      <c r="B54" s="144"/>
      <c r="C54" s="143"/>
      <c r="D54" s="143"/>
      <c r="E54" s="144"/>
      <c r="F54" s="142"/>
      <c r="G54" s="191"/>
      <c r="H54" s="187"/>
      <c r="I54" s="191"/>
      <c r="J54" s="187"/>
      <c r="K54" s="191"/>
      <c r="L54" s="187"/>
      <c r="M54" s="189"/>
      <c r="N54" s="200"/>
    </row>
    <row r="55" spans="1:14" ht="15.75" customHeight="1">
      <c r="A55" s="205"/>
      <c r="B55" s="205"/>
      <c r="C55" s="206" t="s">
        <v>52</v>
      </c>
      <c r="D55" s="206" t="s">
        <v>46</v>
      </c>
      <c r="E55" s="205"/>
      <c r="F55" s="207" t="s">
        <v>120</v>
      </c>
      <c r="G55" s="208">
        <v>0</v>
      </c>
      <c r="H55" s="209">
        <v>0</v>
      </c>
      <c r="I55" s="208">
        <v>0</v>
      </c>
      <c r="J55" s="209">
        <v>0</v>
      </c>
      <c r="K55" s="208">
        <f t="shared" ref="K55:K58" si="10">G55-I55</f>
        <v>0</v>
      </c>
      <c r="L55" s="209">
        <v>0</v>
      </c>
      <c r="M55" s="210"/>
      <c r="N55" s="211"/>
    </row>
    <row r="56" spans="1:14" ht="15.75" customHeight="1">
      <c r="A56" s="144"/>
      <c r="B56" s="144"/>
      <c r="C56" s="143"/>
      <c r="D56" s="143" t="s">
        <v>45</v>
      </c>
      <c r="E56" s="144"/>
      <c r="F56" s="214" t="s">
        <v>47</v>
      </c>
      <c r="G56" s="191">
        <v>0</v>
      </c>
      <c r="H56" s="187">
        <v>0</v>
      </c>
      <c r="I56" s="191">
        <v>0</v>
      </c>
      <c r="J56" s="187">
        <v>0</v>
      </c>
      <c r="K56" s="191">
        <f t="shared" si="10"/>
        <v>0</v>
      </c>
      <c r="L56" s="187">
        <v>0</v>
      </c>
      <c r="M56" s="189"/>
      <c r="N56" s="200"/>
    </row>
    <row r="57" spans="1:14" ht="15.75" customHeight="1">
      <c r="A57" s="144"/>
      <c r="B57" s="144"/>
      <c r="C57" s="143"/>
      <c r="D57" s="143" t="s">
        <v>48</v>
      </c>
      <c r="E57" s="144"/>
      <c r="F57" s="214" t="s">
        <v>67</v>
      </c>
      <c r="G57" s="191">
        <v>0</v>
      </c>
      <c r="H57" s="187">
        <v>0</v>
      </c>
      <c r="I57" s="191">
        <v>0</v>
      </c>
      <c r="J57" s="187">
        <v>0</v>
      </c>
      <c r="K57" s="191">
        <f t="shared" si="10"/>
        <v>0</v>
      </c>
      <c r="L57" s="187">
        <v>0</v>
      </c>
      <c r="M57" s="189"/>
      <c r="N57" s="200"/>
    </row>
    <row r="58" spans="1:14" ht="15.75" customHeight="1">
      <c r="A58" s="144"/>
      <c r="B58" s="144"/>
      <c r="C58" s="143"/>
      <c r="D58" s="143" t="s">
        <v>52</v>
      </c>
      <c r="E58" s="144"/>
      <c r="F58" s="214" t="s">
        <v>65</v>
      </c>
      <c r="G58" s="191">
        <v>0</v>
      </c>
      <c r="H58" s="187">
        <v>0</v>
      </c>
      <c r="I58" s="191">
        <v>0</v>
      </c>
      <c r="J58" s="187">
        <v>0</v>
      </c>
      <c r="K58" s="191">
        <f t="shared" si="10"/>
        <v>0</v>
      </c>
      <c r="L58" s="187">
        <v>0</v>
      </c>
      <c r="M58" s="189"/>
      <c r="N58" s="200"/>
    </row>
    <row r="59" spans="1:14" ht="15.75" customHeight="1">
      <c r="A59" s="144"/>
      <c r="B59" s="144"/>
      <c r="C59" s="143"/>
      <c r="D59" s="143"/>
      <c r="E59" s="144"/>
      <c r="F59" s="214"/>
      <c r="G59" s="191"/>
      <c r="H59" s="187"/>
      <c r="I59" s="191"/>
      <c r="J59" s="187"/>
      <c r="K59" s="191"/>
      <c r="L59" s="187"/>
      <c r="M59" s="189"/>
      <c r="N59" s="200"/>
    </row>
    <row r="60" spans="1:14" ht="15.75" customHeight="1">
      <c r="A60" s="205"/>
      <c r="B60" s="205"/>
      <c r="C60" s="206" t="s">
        <v>53</v>
      </c>
      <c r="D60" s="206" t="s">
        <v>46</v>
      </c>
      <c r="E60" s="205"/>
      <c r="F60" s="215" t="s">
        <v>68</v>
      </c>
      <c r="G60" s="208">
        <v>0</v>
      </c>
      <c r="H60" s="209">
        <v>0</v>
      </c>
      <c r="I60" s="208">
        <v>0</v>
      </c>
      <c r="J60" s="209">
        <v>0</v>
      </c>
      <c r="K60" s="208">
        <f t="shared" ref="K60:K65" si="11">G60-I60</f>
        <v>0</v>
      </c>
      <c r="L60" s="209">
        <v>0</v>
      </c>
      <c r="M60" s="210"/>
      <c r="N60" s="211"/>
    </row>
    <row r="61" spans="1:14" ht="15.75" customHeight="1">
      <c r="A61" s="144"/>
      <c r="B61" s="144"/>
      <c r="C61" s="143"/>
      <c r="D61" s="143" t="s">
        <v>45</v>
      </c>
      <c r="E61" s="144"/>
      <c r="F61" s="214" t="s">
        <v>47</v>
      </c>
      <c r="G61" s="191">
        <v>0</v>
      </c>
      <c r="H61" s="187">
        <v>0</v>
      </c>
      <c r="I61" s="191">
        <v>0</v>
      </c>
      <c r="J61" s="187">
        <v>0</v>
      </c>
      <c r="K61" s="191">
        <f t="shared" si="11"/>
        <v>0</v>
      </c>
      <c r="L61" s="187">
        <v>0</v>
      </c>
      <c r="M61" s="189"/>
      <c r="N61" s="200"/>
    </row>
    <row r="62" spans="1:14" ht="15.75" customHeight="1">
      <c r="A62" s="144"/>
      <c r="B62" s="144"/>
      <c r="C62" s="143"/>
      <c r="D62" s="143" t="s">
        <v>48</v>
      </c>
      <c r="E62" s="144"/>
      <c r="F62" s="214" t="s">
        <v>69</v>
      </c>
      <c r="G62" s="191">
        <v>0</v>
      </c>
      <c r="H62" s="187">
        <v>0</v>
      </c>
      <c r="I62" s="191">
        <v>0</v>
      </c>
      <c r="J62" s="187">
        <v>0</v>
      </c>
      <c r="K62" s="191">
        <f t="shared" si="11"/>
        <v>0</v>
      </c>
      <c r="L62" s="187">
        <v>0</v>
      </c>
      <c r="M62" s="189"/>
      <c r="N62" s="200"/>
    </row>
    <row r="63" spans="1:14" ht="15.75" customHeight="1">
      <c r="A63" s="144"/>
      <c r="B63" s="144"/>
      <c r="C63" s="143"/>
      <c r="D63" s="143" t="s">
        <v>52</v>
      </c>
      <c r="E63" s="144"/>
      <c r="F63" s="212" t="s">
        <v>70</v>
      </c>
      <c r="G63" s="191">
        <v>0</v>
      </c>
      <c r="H63" s="187">
        <v>0</v>
      </c>
      <c r="I63" s="191">
        <v>0</v>
      </c>
      <c r="J63" s="187">
        <v>0</v>
      </c>
      <c r="K63" s="191">
        <f t="shared" si="11"/>
        <v>0</v>
      </c>
      <c r="L63" s="187">
        <v>0</v>
      </c>
      <c r="M63" s="189"/>
      <c r="N63" s="200"/>
    </row>
    <row r="64" spans="1:14" ht="15.75" customHeight="1">
      <c r="A64" s="144"/>
      <c r="B64" s="144"/>
      <c r="C64" s="143"/>
      <c r="D64" s="143" t="s">
        <v>53</v>
      </c>
      <c r="E64" s="144"/>
      <c r="F64" s="212" t="s">
        <v>71</v>
      </c>
      <c r="G64" s="191">
        <v>0</v>
      </c>
      <c r="H64" s="187">
        <v>0</v>
      </c>
      <c r="I64" s="191">
        <v>0</v>
      </c>
      <c r="J64" s="187">
        <v>0</v>
      </c>
      <c r="K64" s="191">
        <f t="shared" si="11"/>
        <v>0</v>
      </c>
      <c r="L64" s="187">
        <v>0</v>
      </c>
      <c r="M64" s="189"/>
      <c r="N64" s="200"/>
    </row>
    <row r="65" spans="1:14" ht="15.75" customHeight="1">
      <c r="A65" s="144"/>
      <c r="B65" s="144"/>
      <c r="C65" s="143"/>
      <c r="D65" s="143" t="s">
        <v>55</v>
      </c>
      <c r="E65" s="144"/>
      <c r="F65" s="142" t="s">
        <v>72</v>
      </c>
      <c r="G65" s="191">
        <v>0</v>
      </c>
      <c r="H65" s="187">
        <v>0</v>
      </c>
      <c r="I65" s="191">
        <v>0</v>
      </c>
      <c r="J65" s="187">
        <v>0</v>
      </c>
      <c r="K65" s="191">
        <f t="shared" si="11"/>
        <v>0</v>
      </c>
      <c r="L65" s="187">
        <v>0</v>
      </c>
      <c r="M65" s="189"/>
      <c r="N65" s="200"/>
    </row>
    <row r="66" spans="1:14" ht="15.75" customHeight="1">
      <c r="A66" s="144"/>
      <c r="B66" s="144"/>
      <c r="C66" s="143"/>
      <c r="D66" s="143"/>
      <c r="E66" s="144"/>
      <c r="F66" s="142"/>
      <c r="G66" s="191"/>
      <c r="H66" s="187"/>
      <c r="I66" s="191"/>
      <c r="J66" s="187"/>
      <c r="K66" s="191"/>
      <c r="L66" s="187"/>
      <c r="M66" s="142"/>
      <c r="N66" s="200"/>
    </row>
    <row r="67" spans="1:14" ht="15.75" customHeight="1">
      <c r="A67" s="144"/>
      <c r="B67" s="144"/>
      <c r="C67" s="143" t="s">
        <v>50</v>
      </c>
      <c r="D67" s="143" t="s">
        <v>50</v>
      </c>
      <c r="E67" s="144"/>
      <c r="F67" s="212" t="s">
        <v>51</v>
      </c>
      <c r="G67" s="191">
        <v>0</v>
      </c>
      <c r="H67" s="187">
        <v>0</v>
      </c>
      <c r="I67" s="191">
        <v>0</v>
      </c>
      <c r="J67" s="187">
        <v>0</v>
      </c>
      <c r="K67" s="191">
        <f>G67-I67</f>
        <v>0</v>
      </c>
      <c r="L67" s="187">
        <v>0</v>
      </c>
      <c r="M67" s="189"/>
      <c r="N67" s="200"/>
    </row>
    <row r="68" spans="1:14" ht="15.75" customHeight="1">
      <c r="A68" s="143"/>
      <c r="B68" s="143"/>
      <c r="C68" s="143"/>
      <c r="D68" s="143"/>
      <c r="E68" s="143"/>
      <c r="F68" s="142"/>
      <c r="G68" s="191"/>
      <c r="H68" s="187"/>
      <c r="I68" s="191"/>
      <c r="J68" s="96"/>
      <c r="K68" s="142"/>
      <c r="L68" s="96"/>
      <c r="M68" s="142"/>
      <c r="N68" s="170"/>
    </row>
    <row r="69" spans="1:14" ht="15.75" customHeight="1">
      <c r="A69" s="179"/>
      <c r="B69" s="171" t="s">
        <v>61</v>
      </c>
      <c r="C69" s="171" t="s">
        <v>46</v>
      </c>
      <c r="D69" s="171" t="s">
        <v>46</v>
      </c>
      <c r="E69" s="179"/>
      <c r="F69" s="172" t="s">
        <v>21</v>
      </c>
      <c r="G69" s="175">
        <f>SUM(G71,G72,G75,G76,)</f>
        <v>103768</v>
      </c>
      <c r="H69" s="174">
        <f>G69/G7</f>
        <v>4.2535661246138126E-2</v>
      </c>
      <c r="I69" s="175">
        <f>SUM(I71,I72,I75,I76,)</f>
        <v>160000</v>
      </c>
      <c r="J69" s="174">
        <v>0</v>
      </c>
      <c r="K69" s="175">
        <f>SUM(K71,K72,K75,K76,)</f>
        <v>-56232</v>
      </c>
      <c r="L69" s="174">
        <v>0</v>
      </c>
      <c r="M69" s="180"/>
      <c r="N69" s="181"/>
    </row>
    <row r="70" spans="1:14" ht="15.75" customHeight="1">
      <c r="A70" s="144"/>
      <c r="B70" s="144"/>
      <c r="C70" s="143"/>
      <c r="D70" s="143"/>
      <c r="E70" s="144"/>
      <c r="F70" s="142"/>
      <c r="G70" s="191"/>
      <c r="H70" s="187"/>
      <c r="I70" s="191"/>
      <c r="J70" s="187"/>
      <c r="K70" s="188"/>
      <c r="L70" s="187"/>
      <c r="M70" s="189"/>
      <c r="N70" s="200"/>
    </row>
    <row r="71" spans="1:14" ht="15.75" customHeight="1">
      <c r="A71" s="144"/>
      <c r="B71" s="144"/>
      <c r="C71" s="143" t="s">
        <v>46</v>
      </c>
      <c r="D71" s="143" t="s">
        <v>48</v>
      </c>
      <c r="E71" s="144"/>
      <c r="F71" s="142" t="s">
        <v>73</v>
      </c>
      <c r="G71" s="191">
        <v>0</v>
      </c>
      <c r="H71" s="187">
        <v>0</v>
      </c>
      <c r="I71" s="191">
        <v>0</v>
      </c>
      <c r="J71" s="187">
        <v>0</v>
      </c>
      <c r="K71" s="191">
        <f>G71-I71</f>
        <v>0</v>
      </c>
      <c r="L71" s="187">
        <v>0</v>
      </c>
      <c r="M71" s="189"/>
      <c r="N71" s="200"/>
    </row>
    <row r="72" spans="1:14" ht="15.75" customHeight="1">
      <c r="A72" s="144"/>
      <c r="B72" s="144"/>
      <c r="C72" s="143" t="s">
        <v>46</v>
      </c>
      <c r="D72" s="143" t="s">
        <v>52</v>
      </c>
      <c r="E72" s="143"/>
      <c r="F72" s="216" t="s">
        <v>74</v>
      </c>
      <c r="G72" s="191">
        <f>G73</f>
        <v>103768</v>
      </c>
      <c r="H72" s="187">
        <f>G72/G69</f>
        <v>1</v>
      </c>
      <c r="I72" s="191">
        <f>I73</f>
        <v>160000</v>
      </c>
      <c r="J72" s="187">
        <f>I72/I69</f>
        <v>1</v>
      </c>
      <c r="K72" s="191">
        <f>K73</f>
        <v>-56232</v>
      </c>
      <c r="L72" s="187">
        <f t="shared" ref="L72:L73" si="12">G72/I72</f>
        <v>0.64854999999999996</v>
      </c>
      <c r="M72" s="217"/>
      <c r="N72" s="200"/>
    </row>
    <row r="73" spans="1:14" ht="15.75" customHeight="1">
      <c r="A73" s="144"/>
      <c r="B73" s="144"/>
      <c r="C73" s="143"/>
      <c r="D73" s="143"/>
      <c r="E73" s="143" t="s">
        <v>114</v>
      </c>
      <c r="F73" s="142" t="s">
        <v>115</v>
      </c>
      <c r="G73" s="218">
        <v>103768</v>
      </c>
      <c r="H73" s="187">
        <v>0</v>
      </c>
      <c r="I73" s="191">
        <v>160000</v>
      </c>
      <c r="J73" s="187">
        <f>I73/I72</f>
        <v>1</v>
      </c>
      <c r="K73" s="191">
        <f>G73-I73</f>
        <v>-56232</v>
      </c>
      <c r="L73" s="187">
        <f t="shared" si="12"/>
        <v>0.64854999999999996</v>
      </c>
      <c r="M73" s="142" t="s">
        <v>121</v>
      </c>
      <c r="N73" s="200"/>
    </row>
    <row r="74" spans="1:14" ht="15.75" customHeight="1">
      <c r="A74" s="144"/>
      <c r="B74" s="144"/>
      <c r="C74" s="143"/>
      <c r="D74" s="143"/>
      <c r="E74" s="144"/>
      <c r="F74" s="142"/>
      <c r="G74" s="191"/>
      <c r="H74" s="187"/>
      <c r="I74" s="191"/>
      <c r="J74" s="187"/>
      <c r="K74" s="191"/>
      <c r="L74" s="187"/>
      <c r="M74" s="142" t="s">
        <v>122</v>
      </c>
      <c r="N74" s="200"/>
    </row>
    <row r="75" spans="1:14" ht="15.75" customHeight="1">
      <c r="A75" s="144"/>
      <c r="B75" s="144"/>
      <c r="C75" s="143"/>
      <c r="D75" s="143" t="s">
        <v>53</v>
      </c>
      <c r="E75" s="144"/>
      <c r="F75" s="142" t="s">
        <v>75</v>
      </c>
      <c r="G75" s="191">
        <v>0</v>
      </c>
      <c r="H75" s="187">
        <v>0</v>
      </c>
      <c r="I75" s="191">
        <v>0</v>
      </c>
      <c r="J75" s="187">
        <v>0</v>
      </c>
      <c r="K75" s="191">
        <f t="shared" ref="K75:K76" si="13">G75-I75</f>
        <v>0</v>
      </c>
      <c r="L75" s="187">
        <v>0</v>
      </c>
      <c r="M75" s="142"/>
      <c r="N75" s="200"/>
    </row>
    <row r="76" spans="1:14" ht="15.75" customHeight="1">
      <c r="A76" s="144"/>
      <c r="B76" s="144"/>
      <c r="C76" s="143"/>
      <c r="D76" s="143" t="s">
        <v>55</v>
      </c>
      <c r="E76" s="144"/>
      <c r="F76" s="142" t="s">
        <v>76</v>
      </c>
      <c r="G76" s="191">
        <v>0</v>
      </c>
      <c r="H76" s="187">
        <v>0</v>
      </c>
      <c r="I76" s="191">
        <v>0</v>
      </c>
      <c r="J76" s="187">
        <v>0</v>
      </c>
      <c r="K76" s="191">
        <f t="shared" si="13"/>
        <v>0</v>
      </c>
      <c r="L76" s="187">
        <v>0</v>
      </c>
      <c r="M76" s="142"/>
      <c r="N76" s="200"/>
    </row>
    <row r="77" spans="1:14" ht="15.75" customHeight="1">
      <c r="A77" s="144"/>
      <c r="B77" s="144"/>
      <c r="C77" s="143"/>
      <c r="D77" s="143"/>
      <c r="E77" s="144"/>
      <c r="F77" s="142"/>
      <c r="G77" s="191"/>
      <c r="H77" s="187"/>
      <c r="I77" s="191"/>
      <c r="J77" s="187"/>
      <c r="K77" s="191"/>
      <c r="L77" s="187"/>
      <c r="M77" s="142"/>
      <c r="N77" s="200"/>
    </row>
    <row r="78" spans="1:14" ht="15.75" customHeight="1">
      <c r="A78" s="144"/>
      <c r="B78" s="144"/>
      <c r="C78" s="143" t="s">
        <v>50</v>
      </c>
      <c r="D78" s="143" t="s">
        <v>50</v>
      </c>
      <c r="E78" s="144"/>
      <c r="F78" s="142" t="s">
        <v>51</v>
      </c>
      <c r="G78" s="191"/>
      <c r="H78" s="187"/>
      <c r="I78" s="191"/>
      <c r="J78" s="187"/>
      <c r="K78" s="191"/>
      <c r="L78" s="187"/>
      <c r="M78" s="142"/>
      <c r="N78" s="200"/>
    </row>
    <row r="79" spans="1:14" ht="15.75" customHeight="1">
      <c r="A79" s="144"/>
      <c r="B79" s="144"/>
      <c r="C79" s="143"/>
      <c r="D79" s="143"/>
      <c r="E79" s="144"/>
      <c r="F79" s="142"/>
      <c r="G79" s="191"/>
      <c r="H79" s="187"/>
      <c r="I79" s="191"/>
      <c r="J79" s="187"/>
      <c r="K79" s="191"/>
      <c r="L79" s="187"/>
      <c r="M79" s="142"/>
      <c r="N79" s="200"/>
    </row>
    <row r="80" spans="1:14" ht="15.75" customHeight="1">
      <c r="A80" s="143"/>
      <c r="B80" s="143"/>
      <c r="C80" s="143"/>
      <c r="D80" s="143"/>
      <c r="E80" s="143"/>
      <c r="F80" s="142"/>
      <c r="G80" s="191"/>
      <c r="H80" s="187"/>
      <c r="I80" s="191"/>
      <c r="J80" s="96"/>
      <c r="K80" s="142"/>
      <c r="L80" s="96"/>
      <c r="M80" s="142"/>
      <c r="N80" s="170"/>
    </row>
    <row r="81" spans="1:14" ht="15.75" customHeight="1">
      <c r="A81" s="179"/>
      <c r="B81" s="171" t="s">
        <v>77</v>
      </c>
      <c r="C81" s="171" t="s">
        <v>46</v>
      </c>
      <c r="D81" s="171" t="s">
        <v>46</v>
      </c>
      <c r="E81" s="179"/>
      <c r="F81" s="172" t="s">
        <v>22</v>
      </c>
      <c r="G81" s="175">
        <v>0</v>
      </c>
      <c r="H81" s="174">
        <v>0</v>
      </c>
      <c r="I81" s="175">
        <v>0</v>
      </c>
      <c r="J81" s="174">
        <f>I81/$I$9</f>
        <v>0</v>
      </c>
      <c r="K81" s="175">
        <v>0</v>
      </c>
      <c r="L81" s="174">
        <v>0</v>
      </c>
      <c r="M81" s="180"/>
      <c r="N81" s="181"/>
    </row>
    <row r="82" spans="1:14" ht="15.75" customHeight="1">
      <c r="A82" s="144"/>
      <c r="B82" s="144"/>
      <c r="C82" s="143"/>
      <c r="D82" s="143"/>
      <c r="E82" s="144"/>
      <c r="F82" s="142"/>
      <c r="G82" s="191"/>
      <c r="H82" s="187"/>
      <c r="I82" s="191"/>
      <c r="J82" s="187"/>
      <c r="K82" s="188"/>
      <c r="L82" s="187"/>
      <c r="M82" s="189"/>
      <c r="N82" s="200"/>
    </row>
    <row r="83" spans="1:14" ht="15.75" customHeight="1">
      <c r="A83" s="144"/>
      <c r="B83" s="144"/>
      <c r="C83" s="143" t="s">
        <v>46</v>
      </c>
      <c r="D83" s="143" t="s">
        <v>45</v>
      </c>
      <c r="E83" s="144"/>
      <c r="F83" s="142" t="s">
        <v>47</v>
      </c>
      <c r="G83" s="191">
        <v>0</v>
      </c>
      <c r="H83" s="187">
        <v>0</v>
      </c>
      <c r="I83" s="191">
        <v>0</v>
      </c>
      <c r="J83" s="187">
        <v>0</v>
      </c>
      <c r="K83" s="191">
        <f t="shared" ref="K83:K86" si="14">G83-I83</f>
        <v>0</v>
      </c>
      <c r="L83" s="187">
        <v>0</v>
      </c>
      <c r="M83" s="189"/>
      <c r="N83" s="200"/>
    </row>
    <row r="84" spans="1:14" ht="15.75" customHeight="1">
      <c r="A84" s="144"/>
      <c r="B84" s="144"/>
      <c r="C84" s="143"/>
      <c r="D84" s="143" t="s">
        <v>48</v>
      </c>
      <c r="E84" s="144"/>
      <c r="F84" s="142" t="s">
        <v>78</v>
      </c>
      <c r="G84" s="191">
        <v>0</v>
      </c>
      <c r="H84" s="187">
        <v>0</v>
      </c>
      <c r="I84" s="191">
        <v>0</v>
      </c>
      <c r="J84" s="187">
        <v>0</v>
      </c>
      <c r="K84" s="191">
        <f t="shared" si="14"/>
        <v>0</v>
      </c>
      <c r="L84" s="187">
        <v>0</v>
      </c>
      <c r="M84" s="189"/>
      <c r="N84" s="200"/>
    </row>
    <row r="85" spans="1:14" ht="15.75" customHeight="1">
      <c r="A85" s="144"/>
      <c r="B85" s="144"/>
      <c r="C85" s="143"/>
      <c r="D85" s="143" t="s">
        <v>52</v>
      </c>
      <c r="E85" s="144"/>
      <c r="F85" s="142" t="s">
        <v>79</v>
      </c>
      <c r="G85" s="191">
        <v>0</v>
      </c>
      <c r="H85" s="187">
        <v>0</v>
      </c>
      <c r="I85" s="191">
        <v>0</v>
      </c>
      <c r="J85" s="187">
        <v>0</v>
      </c>
      <c r="K85" s="191">
        <f t="shared" si="14"/>
        <v>0</v>
      </c>
      <c r="L85" s="187">
        <v>0</v>
      </c>
      <c r="M85" s="189"/>
      <c r="N85" s="200"/>
    </row>
    <row r="86" spans="1:14" ht="15.75" customHeight="1">
      <c r="A86" s="144"/>
      <c r="B86" s="144"/>
      <c r="C86" s="143" t="s">
        <v>50</v>
      </c>
      <c r="D86" s="143" t="s">
        <v>50</v>
      </c>
      <c r="E86" s="144"/>
      <c r="F86" s="142" t="s">
        <v>51</v>
      </c>
      <c r="G86" s="191">
        <v>0</v>
      </c>
      <c r="H86" s="187">
        <v>0</v>
      </c>
      <c r="I86" s="191">
        <v>0</v>
      </c>
      <c r="J86" s="187">
        <v>0</v>
      </c>
      <c r="K86" s="191">
        <f t="shared" si="14"/>
        <v>0</v>
      </c>
      <c r="L86" s="187">
        <v>0</v>
      </c>
      <c r="M86" s="142"/>
      <c r="N86" s="200"/>
    </row>
    <row r="87" spans="1:14" ht="15.75" customHeight="1">
      <c r="A87" s="143"/>
      <c r="B87" s="143"/>
      <c r="C87" s="143"/>
      <c r="D87" s="143"/>
      <c r="E87" s="143"/>
      <c r="F87" s="142"/>
      <c r="G87" s="191"/>
      <c r="H87" s="187"/>
      <c r="I87" s="191"/>
      <c r="J87" s="96"/>
      <c r="K87" s="142"/>
      <c r="L87" s="96"/>
      <c r="M87" s="142"/>
      <c r="N87" s="170"/>
    </row>
    <row r="88" spans="1:14" ht="15.75" customHeight="1">
      <c r="A88" s="179"/>
      <c r="B88" s="171" t="s">
        <v>80</v>
      </c>
      <c r="C88" s="171" t="s">
        <v>46</v>
      </c>
      <c r="D88" s="171" t="s">
        <v>46</v>
      </c>
      <c r="E88" s="179"/>
      <c r="F88" s="172" t="s">
        <v>23</v>
      </c>
      <c r="G88" s="175">
        <f>SUM(G90,G92)</f>
        <v>50000</v>
      </c>
      <c r="H88" s="174">
        <f>G88/G9</f>
        <v>2.0495557997715155E-2</v>
      </c>
      <c r="I88" s="175">
        <f>SUM(I90,I92)</f>
        <v>50000</v>
      </c>
      <c r="J88" s="174">
        <f>I88/$I$9</f>
        <v>1.931150618161313E-2</v>
      </c>
      <c r="K88" s="175">
        <v>0</v>
      </c>
      <c r="L88" s="174">
        <v>0</v>
      </c>
      <c r="M88" s="180"/>
      <c r="N88" s="181"/>
    </row>
    <row r="89" spans="1:14" ht="15.75" customHeight="1">
      <c r="A89" s="144"/>
      <c r="B89" s="144"/>
      <c r="C89" s="143"/>
      <c r="D89" s="143"/>
      <c r="E89" s="144"/>
      <c r="F89" s="142"/>
      <c r="G89" s="191"/>
      <c r="H89" s="187"/>
      <c r="I89" s="191"/>
      <c r="J89" s="187"/>
      <c r="K89" s="188"/>
      <c r="L89" s="187"/>
      <c r="M89" s="189"/>
      <c r="N89" s="200"/>
    </row>
    <row r="90" spans="1:14" ht="15.75" customHeight="1">
      <c r="A90" s="143"/>
      <c r="B90" s="143"/>
      <c r="C90" s="143" t="s">
        <v>46</v>
      </c>
      <c r="D90" s="143" t="s">
        <v>45</v>
      </c>
      <c r="E90" s="143"/>
      <c r="F90" s="142" t="s">
        <v>47</v>
      </c>
      <c r="G90" s="191">
        <f>G91</f>
        <v>10000</v>
      </c>
      <c r="H90" s="187">
        <f>G90/G88</f>
        <v>0.2</v>
      </c>
      <c r="I90" s="191">
        <v>10000</v>
      </c>
      <c r="J90" s="187">
        <f>I90/$I$88</f>
        <v>0.2</v>
      </c>
      <c r="K90" s="191">
        <f t="shared" ref="K90:K95" si="15">G90-I90</f>
        <v>0</v>
      </c>
      <c r="L90" s="187">
        <f t="shared" ref="L90:L93" si="16">G90/I90</f>
        <v>1</v>
      </c>
      <c r="M90" s="142"/>
      <c r="N90" s="170"/>
    </row>
    <row r="91" spans="1:14" ht="15.75" customHeight="1">
      <c r="A91" s="143"/>
      <c r="B91" s="143"/>
      <c r="C91" s="143"/>
      <c r="D91" s="143"/>
      <c r="E91" s="143" t="s">
        <v>114</v>
      </c>
      <c r="F91" s="142" t="s">
        <v>115</v>
      </c>
      <c r="G91" s="191">
        <v>10000</v>
      </c>
      <c r="H91" s="187"/>
      <c r="I91" s="191">
        <v>10000</v>
      </c>
      <c r="J91" s="187">
        <v>1</v>
      </c>
      <c r="K91" s="191">
        <f t="shared" si="15"/>
        <v>0</v>
      </c>
      <c r="L91" s="187">
        <f t="shared" si="16"/>
        <v>1</v>
      </c>
      <c r="M91" s="142" t="s">
        <v>123</v>
      </c>
      <c r="N91" s="170"/>
    </row>
    <row r="92" spans="1:14" ht="15.75" customHeight="1">
      <c r="A92" s="143"/>
      <c r="B92" s="143"/>
      <c r="C92" s="143" t="s">
        <v>46</v>
      </c>
      <c r="D92" s="143" t="s">
        <v>48</v>
      </c>
      <c r="E92" s="143"/>
      <c r="F92" s="142" t="s">
        <v>81</v>
      </c>
      <c r="G92" s="191">
        <f>G93</f>
        <v>40000</v>
      </c>
      <c r="H92" s="187">
        <f>G92/G88</f>
        <v>0.8</v>
      </c>
      <c r="I92" s="191">
        <v>40000</v>
      </c>
      <c r="J92" s="187">
        <f>I92/$I$88</f>
        <v>0.8</v>
      </c>
      <c r="K92" s="191">
        <f t="shared" si="15"/>
        <v>0</v>
      </c>
      <c r="L92" s="187">
        <f t="shared" si="16"/>
        <v>1</v>
      </c>
      <c r="M92" s="142"/>
      <c r="N92" s="170"/>
    </row>
    <row r="93" spans="1:14" ht="15.75" customHeight="1">
      <c r="A93" s="143"/>
      <c r="B93" s="143"/>
      <c r="C93" s="143"/>
      <c r="D93" s="143"/>
      <c r="E93" s="143" t="s">
        <v>114</v>
      </c>
      <c r="F93" s="142" t="s">
        <v>115</v>
      </c>
      <c r="G93" s="191">
        <v>40000</v>
      </c>
      <c r="H93" s="187"/>
      <c r="I93" s="191">
        <v>40000</v>
      </c>
      <c r="J93" s="187">
        <v>1</v>
      </c>
      <c r="K93" s="191">
        <f t="shared" si="15"/>
        <v>0</v>
      </c>
      <c r="L93" s="187">
        <f t="shared" si="16"/>
        <v>1</v>
      </c>
      <c r="M93" s="142" t="s">
        <v>123</v>
      </c>
      <c r="N93" s="170"/>
    </row>
    <row r="94" spans="1:14" ht="15.75" customHeight="1">
      <c r="A94" s="143"/>
      <c r="B94" s="143"/>
      <c r="C94" s="143" t="s">
        <v>46</v>
      </c>
      <c r="D94" s="143" t="s">
        <v>52</v>
      </c>
      <c r="E94" s="143"/>
      <c r="F94" s="142" t="s">
        <v>82</v>
      </c>
      <c r="G94" s="191">
        <v>0</v>
      </c>
      <c r="H94" s="187">
        <v>0</v>
      </c>
      <c r="I94" s="191">
        <v>0</v>
      </c>
      <c r="J94" s="187">
        <v>0</v>
      </c>
      <c r="K94" s="191">
        <f t="shared" si="15"/>
        <v>0</v>
      </c>
      <c r="L94" s="187">
        <v>0</v>
      </c>
      <c r="M94" s="142"/>
      <c r="N94" s="170"/>
    </row>
    <row r="95" spans="1:14" ht="15.75" customHeight="1">
      <c r="A95" s="143"/>
      <c r="B95" s="143"/>
      <c r="C95" s="143" t="s">
        <v>46</v>
      </c>
      <c r="D95" s="143" t="s">
        <v>53</v>
      </c>
      <c r="E95" s="143"/>
      <c r="F95" s="142" t="s">
        <v>83</v>
      </c>
      <c r="G95" s="191">
        <v>0</v>
      </c>
      <c r="H95" s="187">
        <v>0</v>
      </c>
      <c r="I95" s="191">
        <v>0</v>
      </c>
      <c r="J95" s="187">
        <v>0</v>
      </c>
      <c r="K95" s="191">
        <f t="shared" si="15"/>
        <v>0</v>
      </c>
      <c r="L95" s="187">
        <v>0</v>
      </c>
      <c r="M95" s="142"/>
      <c r="N95" s="170"/>
    </row>
    <row r="96" spans="1:14" ht="15.75" customHeight="1">
      <c r="A96" s="143"/>
      <c r="B96" s="143"/>
      <c r="C96" s="143"/>
      <c r="D96" s="143"/>
      <c r="E96" s="143"/>
      <c r="F96" s="142"/>
      <c r="G96" s="191"/>
      <c r="H96" s="187"/>
      <c r="I96" s="191"/>
      <c r="J96" s="219"/>
      <c r="K96" s="220"/>
      <c r="L96" s="219"/>
      <c r="M96" s="142"/>
      <c r="N96" s="170"/>
    </row>
    <row r="97" spans="1:14" ht="15.75" customHeight="1">
      <c r="A97" s="143"/>
      <c r="B97" s="143"/>
      <c r="C97" s="143" t="s">
        <v>50</v>
      </c>
      <c r="D97" s="143" t="s">
        <v>50</v>
      </c>
      <c r="E97" s="143"/>
      <c r="F97" s="142" t="s">
        <v>51</v>
      </c>
      <c r="G97" s="191">
        <v>0</v>
      </c>
      <c r="H97" s="187">
        <v>0</v>
      </c>
      <c r="I97" s="191">
        <v>0</v>
      </c>
      <c r="J97" s="187">
        <v>0</v>
      </c>
      <c r="K97" s="191">
        <f>G97-I97</f>
        <v>0</v>
      </c>
      <c r="L97" s="187">
        <v>0</v>
      </c>
      <c r="M97" s="142"/>
      <c r="N97" s="170"/>
    </row>
    <row r="98" spans="1:14" ht="15.75" customHeight="1">
      <c r="A98" s="143"/>
      <c r="B98" s="143"/>
      <c r="C98" s="143"/>
      <c r="D98" s="143"/>
      <c r="E98" s="143"/>
      <c r="F98" s="142"/>
      <c r="G98" s="191"/>
      <c r="H98" s="187"/>
      <c r="I98" s="191"/>
      <c r="J98" s="219"/>
      <c r="K98" s="220"/>
      <c r="L98" s="219"/>
      <c r="M98" s="142"/>
      <c r="N98" s="170"/>
    </row>
    <row r="99" spans="1:14" ht="15.75" customHeight="1">
      <c r="A99" s="179"/>
      <c r="B99" s="171" t="s">
        <v>50</v>
      </c>
      <c r="C99" s="171" t="s">
        <v>46</v>
      </c>
      <c r="D99" s="171" t="s">
        <v>46</v>
      </c>
      <c r="E99" s="179"/>
      <c r="F99" s="172" t="s">
        <v>24</v>
      </c>
      <c r="G99" s="175">
        <f>SUM(G103,G109,G117)</f>
        <v>42918</v>
      </c>
      <c r="H99" s="174">
        <f>G99/G7</f>
        <v>1.7592567162918779E-2</v>
      </c>
      <c r="I99" s="175">
        <f>SUM(I101,I103,I109)</f>
        <v>63633</v>
      </c>
      <c r="J99" s="174">
        <f>I99/$I$9</f>
        <v>2.4576981457091765E-2</v>
      </c>
      <c r="K99" s="175">
        <f>SUM(K101,K103,K109,K117)</f>
        <v>-20715</v>
      </c>
      <c r="L99" s="174">
        <v>0</v>
      </c>
      <c r="M99" s="180"/>
      <c r="N99" s="181"/>
    </row>
    <row r="100" spans="1:14" ht="15.75" customHeight="1">
      <c r="A100" s="144"/>
      <c r="B100" s="144"/>
      <c r="C100" s="143"/>
      <c r="D100" s="143"/>
      <c r="E100" s="144"/>
      <c r="F100" s="142"/>
      <c r="G100" s="191"/>
      <c r="H100" s="187"/>
      <c r="I100" s="191"/>
      <c r="J100" s="187"/>
      <c r="K100" s="188"/>
      <c r="L100" s="187"/>
      <c r="M100" s="189"/>
      <c r="N100" s="200"/>
    </row>
    <row r="101" spans="1:14" ht="15.75" customHeight="1">
      <c r="A101" s="144"/>
      <c r="B101" s="144"/>
      <c r="C101" s="143" t="s">
        <v>46</v>
      </c>
      <c r="D101" s="143" t="s">
        <v>45</v>
      </c>
      <c r="E101" s="144"/>
      <c r="F101" s="142" t="s">
        <v>47</v>
      </c>
      <c r="G101" s="191">
        <v>0</v>
      </c>
      <c r="H101" s="187">
        <v>0</v>
      </c>
      <c r="I101" s="191">
        <v>0</v>
      </c>
      <c r="J101" s="187">
        <v>0</v>
      </c>
      <c r="K101" s="191">
        <f>G101-I101</f>
        <v>0</v>
      </c>
      <c r="L101" s="187">
        <v>0</v>
      </c>
      <c r="M101" s="189"/>
      <c r="N101" s="200"/>
    </row>
    <row r="102" spans="1:14" ht="15.75" customHeight="1">
      <c r="A102" s="143"/>
      <c r="B102" s="143"/>
      <c r="C102" s="143"/>
      <c r="D102" s="143"/>
      <c r="E102" s="144"/>
      <c r="F102" s="142"/>
      <c r="G102" s="191"/>
      <c r="H102" s="187"/>
      <c r="I102" s="191"/>
      <c r="J102" s="187"/>
      <c r="K102" s="191"/>
      <c r="L102" s="187"/>
      <c r="M102" s="142"/>
      <c r="N102" s="170"/>
    </row>
    <row r="103" spans="1:14" ht="15.75" customHeight="1">
      <c r="A103" s="221"/>
      <c r="B103" s="221"/>
      <c r="C103" s="221" t="s">
        <v>45</v>
      </c>
      <c r="D103" s="221" t="s">
        <v>46</v>
      </c>
      <c r="E103" s="222"/>
      <c r="F103" s="223" t="s">
        <v>84</v>
      </c>
      <c r="G103" s="224">
        <f>SUM(G104,G106)</f>
        <v>25880</v>
      </c>
      <c r="H103" s="225">
        <f>G103/$G$99</f>
        <v>0.60301039191015426</v>
      </c>
      <c r="I103" s="224">
        <v>35400</v>
      </c>
      <c r="J103" s="225">
        <v>0.55600000000000005</v>
      </c>
      <c r="K103" s="224">
        <f t="shared" ref="K103:K107" si="17">G103-I103</f>
        <v>-9520</v>
      </c>
      <c r="L103" s="225">
        <f t="shared" ref="L103:L107" si="18">G103/I103</f>
        <v>0.73107344632768356</v>
      </c>
      <c r="M103" s="223"/>
      <c r="N103" s="226"/>
    </row>
    <row r="104" spans="1:14" ht="15.75" customHeight="1">
      <c r="A104" s="143"/>
      <c r="B104" s="143"/>
      <c r="C104" s="143"/>
      <c r="D104" s="143" t="s">
        <v>45</v>
      </c>
      <c r="E104" s="144"/>
      <c r="F104" s="142" t="s">
        <v>85</v>
      </c>
      <c r="G104" s="191">
        <f>G105</f>
        <v>21777</v>
      </c>
      <c r="H104" s="187">
        <f>G104/$G$103</f>
        <v>0.8414605873261205</v>
      </c>
      <c r="I104" s="191">
        <v>29200</v>
      </c>
      <c r="J104" s="187">
        <v>0.78200000000000003</v>
      </c>
      <c r="K104" s="191">
        <f t="shared" si="17"/>
        <v>-7423</v>
      </c>
      <c r="L104" s="187">
        <f t="shared" si="18"/>
        <v>0.7457876712328767</v>
      </c>
      <c r="M104" s="142"/>
      <c r="N104" s="170"/>
    </row>
    <row r="105" spans="1:14" ht="15.75" customHeight="1">
      <c r="A105" s="143"/>
      <c r="B105" s="143"/>
      <c r="C105" s="143"/>
      <c r="D105" s="143"/>
      <c r="E105" s="143" t="s">
        <v>114</v>
      </c>
      <c r="F105" s="142" t="s">
        <v>115</v>
      </c>
      <c r="G105" s="191">
        <v>21777</v>
      </c>
      <c r="H105" s="187">
        <f>G105/G104</f>
        <v>1</v>
      </c>
      <c r="I105" s="191">
        <v>29200</v>
      </c>
      <c r="J105" s="187">
        <v>1</v>
      </c>
      <c r="K105" s="191">
        <f t="shared" si="17"/>
        <v>-7423</v>
      </c>
      <c r="L105" s="187">
        <f t="shared" si="18"/>
        <v>0.7457876712328767</v>
      </c>
      <c r="M105" s="142"/>
      <c r="N105" s="170"/>
    </row>
    <row r="106" spans="1:14" ht="15.75" customHeight="1">
      <c r="A106" s="143"/>
      <c r="B106" s="143"/>
      <c r="C106" s="143"/>
      <c r="D106" s="143" t="s">
        <v>48</v>
      </c>
      <c r="E106" s="144"/>
      <c r="F106" s="142" t="s">
        <v>86</v>
      </c>
      <c r="G106" s="191">
        <f>G107</f>
        <v>4103</v>
      </c>
      <c r="H106" s="187">
        <f>G106/$G$103</f>
        <v>0.15853941267387944</v>
      </c>
      <c r="I106" s="191">
        <v>7700</v>
      </c>
      <c r="J106" s="187">
        <v>0.218</v>
      </c>
      <c r="K106" s="191">
        <f t="shared" si="17"/>
        <v>-3597</v>
      </c>
      <c r="L106" s="187">
        <f t="shared" si="18"/>
        <v>0.53285714285714281</v>
      </c>
      <c r="M106" s="142"/>
      <c r="N106" s="170"/>
    </row>
    <row r="107" spans="1:14" ht="15.75" customHeight="1">
      <c r="A107" s="143"/>
      <c r="B107" s="143"/>
      <c r="C107" s="143"/>
      <c r="D107" s="143"/>
      <c r="E107" s="143" t="s">
        <v>114</v>
      </c>
      <c r="F107" s="142" t="s">
        <v>115</v>
      </c>
      <c r="G107" s="191">
        <v>4103</v>
      </c>
      <c r="H107" s="187">
        <f>G107/G106</f>
        <v>1</v>
      </c>
      <c r="I107" s="191">
        <v>7700</v>
      </c>
      <c r="J107" s="187">
        <v>1</v>
      </c>
      <c r="K107" s="191">
        <f t="shared" si="17"/>
        <v>-3597</v>
      </c>
      <c r="L107" s="187">
        <f t="shared" si="18"/>
        <v>0.53285714285714281</v>
      </c>
      <c r="M107" s="142"/>
      <c r="N107" s="170"/>
    </row>
    <row r="108" spans="1:14" ht="15.75" customHeight="1">
      <c r="A108" s="143"/>
      <c r="B108" s="143"/>
      <c r="C108" s="143"/>
      <c r="D108" s="143"/>
      <c r="E108" s="144"/>
      <c r="F108" s="142"/>
      <c r="G108" s="191"/>
      <c r="H108" s="187"/>
      <c r="I108" s="191"/>
      <c r="J108" s="187"/>
      <c r="K108" s="191"/>
      <c r="L108" s="187"/>
      <c r="M108" s="142"/>
      <c r="N108" s="170"/>
    </row>
    <row r="109" spans="1:14" ht="15.75" customHeight="1">
      <c r="A109" s="221"/>
      <c r="B109" s="221"/>
      <c r="C109" s="221" t="s">
        <v>48</v>
      </c>
      <c r="D109" s="221" t="s">
        <v>46</v>
      </c>
      <c r="E109" s="222"/>
      <c r="F109" s="223" t="s">
        <v>87</v>
      </c>
      <c r="G109" s="224">
        <f>SUM(G110,G112,G114)</f>
        <v>17038</v>
      </c>
      <c r="H109" s="225">
        <f>G109/$G$99</f>
        <v>0.39698960808984574</v>
      </c>
      <c r="I109" s="224">
        <v>28233</v>
      </c>
      <c r="J109" s="225">
        <v>0.44400000000000001</v>
      </c>
      <c r="K109" s="224">
        <f t="shared" ref="K109:K115" si="19">G109-I109</f>
        <v>-11195</v>
      </c>
      <c r="L109" s="225">
        <f t="shared" ref="L109:L115" si="20">G109/I109</f>
        <v>0.6034781992703574</v>
      </c>
      <c r="M109" s="223"/>
      <c r="N109" s="226"/>
    </row>
    <row r="110" spans="1:14" ht="15.75" customHeight="1">
      <c r="A110" s="143"/>
      <c r="B110" s="143"/>
      <c r="C110" s="143"/>
      <c r="D110" s="143" t="s">
        <v>45</v>
      </c>
      <c r="E110" s="144"/>
      <c r="F110" s="142" t="s">
        <v>88</v>
      </c>
      <c r="G110" s="191">
        <f>G111</f>
        <v>5488</v>
      </c>
      <c r="H110" s="187">
        <f>G110/$G$109</f>
        <v>0.32210353327855384</v>
      </c>
      <c r="I110" s="191">
        <v>7300</v>
      </c>
      <c r="J110" s="187">
        <v>0.25900000000000001</v>
      </c>
      <c r="K110" s="191">
        <f t="shared" si="19"/>
        <v>-1812</v>
      </c>
      <c r="L110" s="187">
        <f t="shared" si="20"/>
        <v>0.75178082191780826</v>
      </c>
      <c r="M110" s="142"/>
      <c r="N110" s="170"/>
    </row>
    <row r="111" spans="1:14" ht="15.75" customHeight="1">
      <c r="A111" s="143"/>
      <c r="B111" s="143"/>
      <c r="C111" s="143"/>
      <c r="D111" s="143"/>
      <c r="E111" s="143" t="s">
        <v>114</v>
      </c>
      <c r="F111" s="142" t="s">
        <v>115</v>
      </c>
      <c r="G111" s="191">
        <v>5488</v>
      </c>
      <c r="H111" s="187">
        <f>G111/G110</f>
        <v>1</v>
      </c>
      <c r="I111" s="191">
        <v>7300</v>
      </c>
      <c r="J111" s="187">
        <f>I111/I110</f>
        <v>1</v>
      </c>
      <c r="K111" s="191">
        <f t="shared" si="19"/>
        <v>-1812</v>
      </c>
      <c r="L111" s="187">
        <f t="shared" si="20"/>
        <v>0.75178082191780826</v>
      </c>
      <c r="M111" s="142"/>
      <c r="N111" s="170"/>
    </row>
    <row r="112" spans="1:14" ht="15.75" customHeight="1">
      <c r="A112" s="143"/>
      <c r="B112" s="143"/>
      <c r="C112" s="143"/>
      <c r="D112" s="143" t="s">
        <v>48</v>
      </c>
      <c r="E112" s="144"/>
      <c r="F112" s="142" t="s">
        <v>89</v>
      </c>
      <c r="G112" s="191">
        <f>G113</f>
        <v>4800</v>
      </c>
      <c r="H112" s="187">
        <f>G112/$G$109</f>
        <v>0.28172320694917241</v>
      </c>
      <c r="I112" s="191">
        <v>8800</v>
      </c>
      <c r="J112" s="187">
        <v>0.312</v>
      </c>
      <c r="K112" s="191">
        <f t="shared" si="19"/>
        <v>-4000</v>
      </c>
      <c r="L112" s="187">
        <f t="shared" si="20"/>
        <v>0.54545454545454541</v>
      </c>
      <c r="M112" s="142"/>
      <c r="N112" s="170"/>
    </row>
    <row r="113" spans="1:14" ht="15.75" customHeight="1">
      <c r="A113" s="143"/>
      <c r="B113" s="143"/>
      <c r="C113" s="143"/>
      <c r="D113" s="143"/>
      <c r="E113" s="143" t="s">
        <v>114</v>
      </c>
      <c r="F113" s="142" t="s">
        <v>115</v>
      </c>
      <c r="G113" s="191">
        <v>4800</v>
      </c>
      <c r="H113" s="187">
        <f>G113/G112</f>
        <v>1</v>
      </c>
      <c r="I113" s="191">
        <v>8800</v>
      </c>
      <c r="J113" s="187">
        <v>1</v>
      </c>
      <c r="K113" s="191">
        <f t="shared" si="19"/>
        <v>-4000</v>
      </c>
      <c r="L113" s="187">
        <f t="shared" si="20"/>
        <v>0.54545454545454541</v>
      </c>
      <c r="M113" s="142"/>
      <c r="N113" s="170"/>
    </row>
    <row r="114" spans="1:14" ht="15.75" customHeight="1">
      <c r="A114" s="143"/>
      <c r="B114" s="143"/>
      <c r="C114" s="143"/>
      <c r="D114" s="143" t="s">
        <v>52</v>
      </c>
      <c r="E114" s="144"/>
      <c r="F114" s="142" t="s">
        <v>90</v>
      </c>
      <c r="G114" s="191">
        <f>G115</f>
        <v>6750</v>
      </c>
      <c r="H114" s="187">
        <f>G114/$G$109</f>
        <v>0.39617325977227374</v>
      </c>
      <c r="I114" s="191">
        <v>12133</v>
      </c>
      <c r="J114" s="187">
        <v>0.43</v>
      </c>
      <c r="K114" s="191">
        <f t="shared" si="19"/>
        <v>-5383</v>
      </c>
      <c r="L114" s="187">
        <f t="shared" si="20"/>
        <v>0.55633396521882472</v>
      </c>
      <c r="M114" s="142"/>
      <c r="N114" s="170"/>
    </row>
    <row r="115" spans="1:14" ht="15.75" customHeight="1">
      <c r="A115" s="143"/>
      <c r="B115" s="143"/>
      <c r="C115" s="143"/>
      <c r="D115" s="143"/>
      <c r="E115" s="143" t="s">
        <v>114</v>
      </c>
      <c r="F115" s="142" t="s">
        <v>115</v>
      </c>
      <c r="G115" s="191">
        <v>6750</v>
      </c>
      <c r="H115" s="187">
        <f>G115/G114</f>
        <v>1</v>
      </c>
      <c r="I115" s="191">
        <v>12133</v>
      </c>
      <c r="J115" s="187">
        <v>1</v>
      </c>
      <c r="K115" s="191">
        <f t="shared" si="19"/>
        <v>-5383</v>
      </c>
      <c r="L115" s="187">
        <f t="shared" si="20"/>
        <v>0.55633396521882472</v>
      </c>
      <c r="M115" s="142"/>
      <c r="N115" s="170"/>
    </row>
    <row r="116" spans="1:14" ht="15.75" customHeight="1">
      <c r="A116" s="143"/>
      <c r="B116" s="143"/>
      <c r="C116" s="143"/>
      <c r="D116" s="143"/>
      <c r="E116" s="144"/>
      <c r="F116" s="142"/>
      <c r="G116" s="191"/>
      <c r="H116" s="187"/>
      <c r="I116" s="191"/>
      <c r="J116" s="187"/>
      <c r="K116" s="191"/>
      <c r="L116" s="187"/>
      <c r="M116" s="142"/>
      <c r="N116" s="170"/>
    </row>
    <row r="117" spans="1:14" ht="15.75" customHeight="1">
      <c r="A117" s="143"/>
      <c r="B117" s="143"/>
      <c r="C117" s="143" t="s">
        <v>50</v>
      </c>
      <c r="D117" s="143" t="s">
        <v>50</v>
      </c>
      <c r="E117" s="144"/>
      <c r="F117" s="142" t="s">
        <v>51</v>
      </c>
      <c r="G117" s="191">
        <v>0</v>
      </c>
      <c r="H117" s="187">
        <v>0</v>
      </c>
      <c r="I117" s="191">
        <v>0</v>
      </c>
      <c r="J117" s="187">
        <v>0</v>
      </c>
      <c r="K117" s="191">
        <f>G117-I117</f>
        <v>0</v>
      </c>
      <c r="L117" s="187">
        <v>0</v>
      </c>
      <c r="M117" s="142"/>
      <c r="N117" s="170"/>
    </row>
    <row r="118" spans="1:14" ht="15.75" customHeight="1">
      <c r="A118" s="143"/>
      <c r="B118" s="143"/>
      <c r="C118" s="143"/>
      <c r="D118" s="143"/>
      <c r="E118" s="144"/>
      <c r="F118" s="142"/>
      <c r="G118" s="191"/>
      <c r="H118" s="187"/>
      <c r="I118" s="191"/>
      <c r="J118" s="96"/>
      <c r="K118" s="142"/>
      <c r="L118" s="96"/>
      <c r="M118" s="142"/>
      <c r="N118" s="170"/>
    </row>
    <row r="119" spans="1:14" ht="15.75" customHeight="1">
      <c r="A119" s="179"/>
      <c r="B119" s="171" t="s">
        <v>25</v>
      </c>
      <c r="C119" s="171" t="s">
        <v>46</v>
      </c>
      <c r="D119" s="171" t="s">
        <v>46</v>
      </c>
      <c r="E119" s="179"/>
      <c r="F119" s="172" t="s">
        <v>26</v>
      </c>
      <c r="G119" s="175">
        <v>0</v>
      </c>
      <c r="H119" s="174">
        <v>0</v>
      </c>
      <c r="I119" s="175">
        <v>0</v>
      </c>
      <c r="J119" s="174">
        <f>I119/$I$9</f>
        <v>0</v>
      </c>
      <c r="K119" s="175">
        <v>0</v>
      </c>
      <c r="L119" s="174">
        <v>0</v>
      </c>
      <c r="M119" s="180"/>
      <c r="N119" s="181"/>
    </row>
    <row r="120" spans="1:14" ht="15.75" customHeight="1">
      <c r="A120" s="144"/>
      <c r="B120" s="144"/>
      <c r="C120" s="143"/>
      <c r="D120" s="143"/>
      <c r="E120" s="144"/>
      <c r="F120" s="142"/>
      <c r="G120" s="191"/>
      <c r="H120" s="187"/>
      <c r="I120" s="191"/>
      <c r="J120" s="187"/>
      <c r="K120" s="188"/>
      <c r="L120" s="187"/>
      <c r="M120" s="189"/>
      <c r="N120" s="200"/>
    </row>
    <row r="121" spans="1:14" ht="15.75" customHeight="1">
      <c r="A121" s="144"/>
      <c r="B121" s="144"/>
      <c r="C121" s="143" t="s">
        <v>46</v>
      </c>
      <c r="D121" s="143" t="s">
        <v>45</v>
      </c>
      <c r="E121" s="144"/>
      <c r="F121" s="142" t="s">
        <v>47</v>
      </c>
      <c r="G121" s="191">
        <v>0</v>
      </c>
      <c r="H121" s="187">
        <v>0</v>
      </c>
      <c r="I121" s="191">
        <v>0</v>
      </c>
      <c r="J121" s="187">
        <v>0</v>
      </c>
      <c r="K121" s="191">
        <f t="shared" ref="K121:K125" si="21">G121-I121</f>
        <v>0</v>
      </c>
      <c r="L121" s="187">
        <v>0</v>
      </c>
      <c r="M121" s="189"/>
      <c r="N121" s="200"/>
    </row>
    <row r="122" spans="1:14" ht="15.75" customHeight="1">
      <c r="A122" s="144"/>
      <c r="B122" s="144"/>
      <c r="C122" s="143"/>
      <c r="D122" s="143" t="s">
        <v>48</v>
      </c>
      <c r="E122" s="144"/>
      <c r="F122" s="142" t="s">
        <v>124</v>
      </c>
      <c r="G122" s="191">
        <v>0</v>
      </c>
      <c r="H122" s="187">
        <v>0</v>
      </c>
      <c r="I122" s="191">
        <v>0</v>
      </c>
      <c r="J122" s="187">
        <v>0</v>
      </c>
      <c r="K122" s="191">
        <f t="shared" si="21"/>
        <v>0</v>
      </c>
      <c r="L122" s="187">
        <v>0</v>
      </c>
      <c r="M122" s="189"/>
      <c r="N122" s="200"/>
    </row>
    <row r="123" spans="1:14" ht="15.75" customHeight="1">
      <c r="A123" s="144"/>
      <c r="B123" s="144"/>
      <c r="C123" s="143"/>
      <c r="D123" s="143" t="s">
        <v>52</v>
      </c>
      <c r="E123" s="144"/>
      <c r="F123" s="142" t="s">
        <v>92</v>
      </c>
      <c r="G123" s="191">
        <v>0</v>
      </c>
      <c r="H123" s="187">
        <v>0</v>
      </c>
      <c r="I123" s="191">
        <v>0</v>
      </c>
      <c r="J123" s="187">
        <v>0</v>
      </c>
      <c r="K123" s="191">
        <f t="shared" si="21"/>
        <v>0</v>
      </c>
      <c r="L123" s="187">
        <v>0</v>
      </c>
      <c r="M123" s="142"/>
      <c r="N123" s="200"/>
    </row>
    <row r="124" spans="1:14" ht="15.75" customHeight="1">
      <c r="A124" s="144"/>
      <c r="B124" s="144"/>
      <c r="C124" s="143"/>
      <c r="D124" s="143" t="s">
        <v>53</v>
      </c>
      <c r="E124" s="144"/>
      <c r="F124" s="142" t="s">
        <v>93</v>
      </c>
      <c r="G124" s="191">
        <v>0</v>
      </c>
      <c r="H124" s="187">
        <v>0</v>
      </c>
      <c r="I124" s="191">
        <v>0</v>
      </c>
      <c r="J124" s="187">
        <v>0</v>
      </c>
      <c r="K124" s="191">
        <f t="shared" si="21"/>
        <v>0</v>
      </c>
      <c r="L124" s="187">
        <v>0</v>
      </c>
      <c r="M124" s="142"/>
      <c r="N124" s="200"/>
    </row>
    <row r="125" spans="1:14" ht="15.75" customHeight="1">
      <c r="A125" s="144"/>
      <c r="B125" s="144"/>
      <c r="C125" s="143"/>
      <c r="D125" s="143" t="s">
        <v>55</v>
      </c>
      <c r="E125" s="144"/>
      <c r="F125" s="142" t="s">
        <v>94</v>
      </c>
      <c r="G125" s="191">
        <v>0</v>
      </c>
      <c r="H125" s="187">
        <v>0</v>
      </c>
      <c r="I125" s="191">
        <v>0</v>
      </c>
      <c r="J125" s="187">
        <v>0</v>
      </c>
      <c r="K125" s="191">
        <f t="shared" si="21"/>
        <v>0</v>
      </c>
      <c r="L125" s="187">
        <v>0</v>
      </c>
      <c r="M125" s="142"/>
      <c r="N125" s="200"/>
    </row>
    <row r="126" spans="1:14" ht="15.75" customHeight="1">
      <c r="A126" s="144"/>
      <c r="B126" s="144"/>
      <c r="C126" s="143" t="s">
        <v>50</v>
      </c>
      <c r="D126" s="143" t="s">
        <v>50</v>
      </c>
      <c r="E126" s="144"/>
      <c r="F126" s="142" t="s">
        <v>51</v>
      </c>
      <c r="G126" s="191">
        <v>0</v>
      </c>
      <c r="H126" s="187">
        <v>0</v>
      </c>
      <c r="I126" s="191"/>
      <c r="J126" s="187"/>
      <c r="K126" s="191"/>
      <c r="L126" s="187"/>
      <c r="M126" s="142"/>
      <c r="N126" s="200"/>
    </row>
    <row r="127" spans="1:14" ht="15.75" customHeight="1">
      <c r="A127" s="143"/>
      <c r="B127" s="143"/>
      <c r="C127" s="143"/>
      <c r="D127" s="143"/>
      <c r="E127" s="144"/>
      <c r="F127" s="142"/>
      <c r="G127" s="191"/>
      <c r="H127" s="187"/>
      <c r="I127" s="191"/>
      <c r="J127" s="187"/>
      <c r="K127" s="188"/>
      <c r="L127" s="187"/>
      <c r="M127" s="142"/>
      <c r="N127" s="170"/>
    </row>
    <row r="128" spans="1:14" ht="15.75" customHeight="1">
      <c r="A128" s="171" t="s">
        <v>48</v>
      </c>
      <c r="B128" s="171" t="s">
        <v>46</v>
      </c>
      <c r="C128" s="171" t="s">
        <v>46</v>
      </c>
      <c r="D128" s="171" t="s">
        <v>46</v>
      </c>
      <c r="E128" s="179"/>
      <c r="F128" s="172" t="s">
        <v>27</v>
      </c>
      <c r="G128" s="175">
        <v>0</v>
      </c>
      <c r="H128" s="174">
        <v>0</v>
      </c>
      <c r="I128" s="175">
        <v>0</v>
      </c>
      <c r="J128" s="174">
        <f>I128/$I$7</f>
        <v>0</v>
      </c>
      <c r="K128" s="175">
        <v>0</v>
      </c>
      <c r="L128" s="174">
        <v>0</v>
      </c>
      <c r="M128" s="180"/>
      <c r="N128" s="181"/>
    </row>
    <row r="129" spans="1:14" ht="15.75" customHeight="1">
      <c r="A129" s="144"/>
      <c r="B129" s="227"/>
      <c r="C129" s="227"/>
      <c r="D129" s="227"/>
      <c r="E129" s="144"/>
      <c r="F129" s="217"/>
      <c r="G129" s="228"/>
      <c r="H129" s="229"/>
      <c r="I129" s="228"/>
      <c r="J129" s="229"/>
      <c r="K129" s="230"/>
      <c r="L129" s="229"/>
      <c r="M129" s="189"/>
      <c r="N129" s="200"/>
    </row>
    <row r="130" spans="1:14" ht="15.75" customHeight="1">
      <c r="A130" s="179"/>
      <c r="B130" s="171" t="s">
        <v>45</v>
      </c>
      <c r="C130" s="171" t="s">
        <v>46</v>
      </c>
      <c r="D130" s="171" t="s">
        <v>46</v>
      </c>
      <c r="E130" s="179"/>
      <c r="F130" s="172" t="s">
        <v>28</v>
      </c>
      <c r="G130" s="175">
        <v>0</v>
      </c>
      <c r="H130" s="174">
        <v>0</v>
      </c>
      <c r="I130" s="175">
        <v>0</v>
      </c>
      <c r="J130" s="174">
        <v>0</v>
      </c>
      <c r="K130" s="175">
        <v>0</v>
      </c>
      <c r="L130" s="174">
        <v>0</v>
      </c>
      <c r="M130" s="180"/>
      <c r="N130" s="181"/>
    </row>
    <row r="131" spans="1:14" ht="15.75" customHeight="1">
      <c r="A131" s="144"/>
      <c r="B131" s="144"/>
      <c r="C131" s="143"/>
      <c r="D131" s="143"/>
      <c r="E131" s="144"/>
      <c r="F131" s="142"/>
      <c r="G131" s="191"/>
      <c r="H131" s="187"/>
      <c r="I131" s="191"/>
      <c r="J131" s="187"/>
      <c r="K131" s="188"/>
      <c r="L131" s="187"/>
      <c r="M131" s="189"/>
      <c r="N131" s="200"/>
    </row>
    <row r="132" spans="1:14" ht="15.75" customHeight="1">
      <c r="A132" s="144"/>
      <c r="B132" s="144"/>
      <c r="C132" s="143" t="s">
        <v>46</v>
      </c>
      <c r="D132" s="143" t="s">
        <v>45</v>
      </c>
      <c r="E132" s="144"/>
      <c r="F132" s="142" t="s">
        <v>95</v>
      </c>
      <c r="G132" s="191">
        <v>0</v>
      </c>
      <c r="H132" s="187">
        <v>0</v>
      </c>
      <c r="I132" s="191">
        <v>0</v>
      </c>
      <c r="J132" s="187">
        <v>0</v>
      </c>
      <c r="K132" s="191">
        <f t="shared" ref="K132:K138" si="22">G132-I132</f>
        <v>0</v>
      </c>
      <c r="L132" s="187">
        <v>0</v>
      </c>
      <c r="M132" s="189"/>
      <c r="N132" s="200"/>
    </row>
    <row r="133" spans="1:14" ht="15.75" customHeight="1">
      <c r="A133" s="144"/>
      <c r="B133" s="144"/>
      <c r="C133" s="143" t="s">
        <v>46</v>
      </c>
      <c r="D133" s="143" t="s">
        <v>48</v>
      </c>
      <c r="E133" s="231"/>
      <c r="F133" s="142" t="s">
        <v>96</v>
      </c>
      <c r="G133" s="191">
        <v>0</v>
      </c>
      <c r="H133" s="187">
        <v>0</v>
      </c>
      <c r="I133" s="191">
        <v>0</v>
      </c>
      <c r="J133" s="187">
        <v>0</v>
      </c>
      <c r="K133" s="191">
        <f t="shared" si="22"/>
        <v>0</v>
      </c>
      <c r="L133" s="187">
        <v>0</v>
      </c>
      <c r="M133" s="189"/>
      <c r="N133" s="200"/>
    </row>
    <row r="134" spans="1:14" ht="15.75" customHeight="1">
      <c r="A134" s="144"/>
      <c r="B134" s="144"/>
      <c r="C134" s="143" t="s">
        <v>46</v>
      </c>
      <c r="D134" s="143" t="s">
        <v>52</v>
      </c>
      <c r="E134" s="144"/>
      <c r="F134" s="142" t="s">
        <v>97</v>
      </c>
      <c r="G134" s="191">
        <v>0</v>
      </c>
      <c r="H134" s="187">
        <v>0</v>
      </c>
      <c r="I134" s="191">
        <v>0</v>
      </c>
      <c r="J134" s="187">
        <v>0</v>
      </c>
      <c r="K134" s="191">
        <f t="shared" si="22"/>
        <v>0</v>
      </c>
      <c r="L134" s="187">
        <v>0</v>
      </c>
      <c r="M134" s="189"/>
      <c r="N134" s="200"/>
    </row>
    <row r="135" spans="1:14" ht="15.75" customHeight="1">
      <c r="A135" s="144"/>
      <c r="B135" s="144"/>
      <c r="C135" s="143" t="s">
        <v>46</v>
      </c>
      <c r="D135" s="143" t="s">
        <v>53</v>
      </c>
      <c r="E135" s="144"/>
      <c r="F135" s="142" t="s">
        <v>98</v>
      </c>
      <c r="G135" s="191">
        <v>0</v>
      </c>
      <c r="H135" s="187">
        <v>0</v>
      </c>
      <c r="I135" s="191">
        <v>0</v>
      </c>
      <c r="J135" s="187">
        <v>0</v>
      </c>
      <c r="K135" s="191">
        <f t="shared" si="22"/>
        <v>0</v>
      </c>
      <c r="L135" s="187">
        <v>0</v>
      </c>
      <c r="M135" s="189"/>
      <c r="N135" s="200"/>
    </row>
    <row r="136" spans="1:14" ht="15.75" customHeight="1">
      <c r="A136" s="144"/>
      <c r="B136" s="144"/>
      <c r="C136" s="143" t="s">
        <v>46</v>
      </c>
      <c r="D136" s="143" t="s">
        <v>55</v>
      </c>
      <c r="E136" s="144"/>
      <c r="F136" s="142" t="s">
        <v>99</v>
      </c>
      <c r="G136" s="191">
        <v>0</v>
      </c>
      <c r="H136" s="187">
        <v>0</v>
      </c>
      <c r="I136" s="191">
        <v>0</v>
      </c>
      <c r="J136" s="187">
        <v>0</v>
      </c>
      <c r="K136" s="191">
        <f t="shared" si="22"/>
        <v>0</v>
      </c>
      <c r="L136" s="187">
        <v>0</v>
      </c>
      <c r="M136" s="189"/>
      <c r="N136" s="200"/>
    </row>
    <row r="137" spans="1:14" ht="15.75" customHeight="1">
      <c r="A137" s="143"/>
      <c r="B137" s="143"/>
      <c r="C137" s="143" t="s">
        <v>46</v>
      </c>
      <c r="D137" s="143" t="s">
        <v>61</v>
      </c>
      <c r="E137" s="143"/>
      <c r="F137" s="142" t="s">
        <v>100</v>
      </c>
      <c r="G137" s="191">
        <v>0</v>
      </c>
      <c r="H137" s="187">
        <v>0</v>
      </c>
      <c r="I137" s="191">
        <v>0</v>
      </c>
      <c r="J137" s="187">
        <v>0</v>
      </c>
      <c r="K137" s="191">
        <f t="shared" si="22"/>
        <v>0</v>
      </c>
      <c r="L137" s="187">
        <v>0</v>
      </c>
      <c r="M137" s="142"/>
      <c r="N137" s="170"/>
    </row>
    <row r="138" spans="1:14" ht="15.75" customHeight="1">
      <c r="A138" s="144"/>
      <c r="B138" s="144"/>
      <c r="C138" s="143" t="s">
        <v>50</v>
      </c>
      <c r="D138" s="143" t="s">
        <v>50</v>
      </c>
      <c r="E138" s="144"/>
      <c r="F138" s="142" t="s">
        <v>51</v>
      </c>
      <c r="G138" s="191">
        <v>0</v>
      </c>
      <c r="H138" s="187">
        <v>0</v>
      </c>
      <c r="I138" s="191">
        <v>0</v>
      </c>
      <c r="J138" s="187">
        <v>0</v>
      </c>
      <c r="K138" s="191">
        <f t="shared" si="22"/>
        <v>0</v>
      </c>
      <c r="L138" s="187">
        <v>0</v>
      </c>
      <c r="M138" s="142"/>
      <c r="N138" s="200"/>
    </row>
    <row r="139" spans="1:14" ht="15.75" customHeight="1">
      <c r="A139" s="143"/>
      <c r="B139" s="143"/>
      <c r="C139" s="143"/>
      <c r="D139" s="143"/>
      <c r="E139" s="143"/>
      <c r="F139" s="142"/>
      <c r="G139" s="191"/>
      <c r="H139" s="187"/>
      <c r="I139" s="191"/>
      <c r="J139" s="96"/>
      <c r="K139" s="142"/>
      <c r="L139" s="96"/>
      <c r="M139" s="142"/>
      <c r="N139" s="170"/>
    </row>
    <row r="140" spans="1:14" ht="15.75" customHeight="1">
      <c r="A140" s="171" t="s">
        <v>52</v>
      </c>
      <c r="B140" s="171" t="s">
        <v>46</v>
      </c>
      <c r="C140" s="171" t="s">
        <v>46</v>
      </c>
      <c r="D140" s="171" t="s">
        <v>46</v>
      </c>
      <c r="E140" s="179"/>
      <c r="F140" s="172" t="s">
        <v>29</v>
      </c>
      <c r="G140" s="175">
        <v>0</v>
      </c>
      <c r="H140" s="174">
        <v>0</v>
      </c>
      <c r="I140" s="175">
        <f>I142</f>
        <v>0</v>
      </c>
      <c r="J140" s="174">
        <f>I140/$I$7</f>
        <v>0</v>
      </c>
      <c r="K140" s="175">
        <v>0</v>
      </c>
      <c r="L140" s="174">
        <v>0</v>
      </c>
      <c r="M140" s="180"/>
      <c r="N140" s="181"/>
    </row>
    <row r="141" spans="1:14" ht="15.75" customHeight="1">
      <c r="A141" s="144"/>
      <c r="B141" s="227"/>
      <c r="C141" s="227"/>
      <c r="D141" s="227"/>
      <c r="E141" s="144"/>
      <c r="F141" s="217"/>
      <c r="G141" s="228"/>
      <c r="H141" s="229"/>
      <c r="I141" s="228"/>
      <c r="J141" s="229"/>
      <c r="K141" s="230"/>
      <c r="L141" s="229"/>
      <c r="M141" s="189"/>
      <c r="N141" s="200" t="s">
        <v>125</v>
      </c>
    </row>
    <row r="142" spans="1:14" ht="15.75" customHeight="1">
      <c r="A142" s="179"/>
      <c r="B142" s="171" t="s">
        <v>45</v>
      </c>
      <c r="C142" s="171" t="s">
        <v>46</v>
      </c>
      <c r="D142" s="171" t="s">
        <v>46</v>
      </c>
      <c r="E142" s="179"/>
      <c r="F142" s="172" t="s">
        <v>30</v>
      </c>
      <c r="G142" s="175">
        <v>0</v>
      </c>
      <c r="H142" s="174">
        <v>0</v>
      </c>
      <c r="I142" s="175">
        <f>I144+I146</f>
        <v>0</v>
      </c>
      <c r="J142" s="174">
        <v>0</v>
      </c>
      <c r="K142" s="175">
        <v>0</v>
      </c>
      <c r="L142" s="174">
        <v>0</v>
      </c>
      <c r="M142" s="180"/>
      <c r="N142" s="181"/>
    </row>
    <row r="143" spans="1:14" ht="15.75" customHeight="1">
      <c r="A143" s="144"/>
      <c r="B143" s="144"/>
      <c r="C143" s="143"/>
      <c r="D143" s="143"/>
      <c r="E143" s="144"/>
      <c r="F143" s="142"/>
      <c r="G143" s="191"/>
      <c r="H143" s="187"/>
      <c r="I143" s="191"/>
      <c r="J143" s="187"/>
      <c r="K143" s="188"/>
      <c r="L143" s="187"/>
      <c r="M143" s="189"/>
      <c r="N143" s="200"/>
    </row>
    <row r="144" spans="1:14" ht="15.75" customHeight="1">
      <c r="A144" s="144"/>
      <c r="B144" s="144"/>
      <c r="C144" s="143" t="s">
        <v>46</v>
      </c>
      <c r="D144" s="143" t="s">
        <v>45</v>
      </c>
      <c r="E144" s="144"/>
      <c r="F144" s="142" t="s">
        <v>101</v>
      </c>
      <c r="G144" s="191">
        <v>0</v>
      </c>
      <c r="H144" s="187">
        <v>0</v>
      </c>
      <c r="I144" s="191">
        <v>0</v>
      </c>
      <c r="J144" s="187">
        <v>0</v>
      </c>
      <c r="K144" s="191">
        <f>G144-I144</f>
        <v>0</v>
      </c>
      <c r="L144" s="187">
        <v>0</v>
      </c>
      <c r="M144" s="189"/>
      <c r="N144" s="200"/>
    </row>
    <row r="145" spans="1:14" ht="15.75" customHeight="1">
      <c r="A145" s="144"/>
      <c r="B145" s="144"/>
      <c r="C145" s="143"/>
      <c r="D145" s="143"/>
      <c r="E145" s="144"/>
      <c r="F145" s="142"/>
      <c r="G145" s="191"/>
      <c r="H145" s="187"/>
      <c r="I145" s="191"/>
      <c r="J145" s="187"/>
      <c r="K145" s="188"/>
      <c r="L145" s="187"/>
      <c r="M145" s="142"/>
      <c r="N145" s="200"/>
    </row>
    <row r="146" spans="1:14" ht="15.75" customHeight="1">
      <c r="A146" s="144"/>
      <c r="B146" s="144"/>
      <c r="C146" s="143" t="s">
        <v>50</v>
      </c>
      <c r="D146" s="143" t="s">
        <v>50</v>
      </c>
      <c r="E146" s="144"/>
      <c r="F146" s="142" t="s">
        <v>51</v>
      </c>
      <c r="G146" s="191">
        <v>0</v>
      </c>
      <c r="H146" s="187">
        <v>0</v>
      </c>
      <c r="I146" s="191">
        <v>0</v>
      </c>
      <c r="J146" s="187">
        <v>0</v>
      </c>
      <c r="K146" s="191">
        <f>G146-I146</f>
        <v>0</v>
      </c>
      <c r="L146" s="187">
        <v>0</v>
      </c>
      <c r="M146" s="142"/>
      <c r="N146" s="200"/>
    </row>
    <row r="147" spans="1:14" ht="15.75" customHeight="1">
      <c r="A147" s="143"/>
      <c r="B147" s="143"/>
      <c r="C147" s="143"/>
      <c r="D147" s="143"/>
      <c r="E147" s="143"/>
      <c r="F147" s="142"/>
      <c r="G147" s="191"/>
      <c r="H147" s="187"/>
      <c r="I147" s="191"/>
      <c r="J147" s="187"/>
      <c r="K147" s="232"/>
      <c r="L147" s="187"/>
      <c r="M147" s="142"/>
      <c r="N147" s="170"/>
    </row>
    <row r="148" spans="1:14" ht="15.75" customHeight="1">
      <c r="A148" s="143"/>
      <c r="B148" s="143"/>
      <c r="C148" s="143"/>
      <c r="D148" s="143"/>
      <c r="E148" s="143"/>
      <c r="F148" s="142"/>
      <c r="G148" s="191"/>
      <c r="H148" s="187"/>
      <c r="I148" s="191"/>
      <c r="J148" s="187"/>
      <c r="K148" s="232"/>
      <c r="L148" s="187"/>
      <c r="M148" s="142"/>
      <c r="N148" s="170"/>
    </row>
    <row r="149" spans="1:14" ht="15.75" customHeight="1">
      <c r="A149" s="143"/>
      <c r="B149" s="143"/>
      <c r="C149" s="143"/>
      <c r="D149" s="143"/>
      <c r="E149" s="143"/>
      <c r="F149" s="142"/>
      <c r="G149" s="191"/>
      <c r="H149" s="187"/>
      <c r="I149" s="191"/>
      <c r="J149" s="187"/>
      <c r="K149" s="232"/>
      <c r="L149" s="187"/>
      <c r="M149" s="142"/>
      <c r="N149" s="170"/>
    </row>
  </sheetData>
  <mergeCells count="9">
    <mergeCell ref="M5:M6"/>
    <mergeCell ref="N5:N6"/>
    <mergeCell ref="A1:N1"/>
    <mergeCell ref="A2:N2"/>
    <mergeCell ref="A3:N3"/>
    <mergeCell ref="A4:J4"/>
    <mergeCell ref="M4:N4"/>
    <mergeCell ref="A5:D5"/>
    <mergeCell ref="E5:F5"/>
  </mergeCells>
  <phoneticPr fontId="30" type="noConversion"/>
  <printOptions horizontalCentered="1"/>
  <pageMargins left="0.25" right="0.25" top="0.75" bottom="0.75" header="0" footer="0"/>
  <pageSetup paperSize="9" pageOrder="overThenDown" orientation="portrait" cellComments="atEnd"/>
  <headerFooter>
    <oddFooter>&amp;L&amp;A&amp;R&amp;P</oddFooter>
  </headerFooter>
  <rowBreaks count="6" manualBreakCount="6">
    <brk id="80" man="1"/>
    <brk id="98" man="1"/>
    <brk id="68" man="1"/>
    <brk id="37" man="1"/>
    <brk id="127" man="1"/>
    <brk id="31" man="1"/>
  </rowBreaks>
  <colBreaks count="1" manualBreakCount="1">
    <brk id="1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E448"/>
  <sheetViews>
    <sheetView workbookViewId="0">
      <pane ySplit="7" topLeftCell="A8" activePane="bottomLeft" state="frozen"/>
      <selection pane="bottomLeft" activeCell="B9" sqref="B9"/>
    </sheetView>
  </sheetViews>
  <sheetFormatPr defaultColWidth="12.5703125" defaultRowHeight="15" customHeight="1"/>
  <cols>
    <col min="1" max="1" width="1.5703125" customWidth="1"/>
    <col min="2" max="2" width="1.7109375" customWidth="1"/>
    <col min="3" max="3" width="2.140625" customWidth="1"/>
    <col min="4" max="4" width="1.7109375" customWidth="1"/>
    <col min="5" max="5" width="6.42578125" customWidth="1"/>
    <col min="6" max="6" width="22.28515625" customWidth="1"/>
    <col min="7" max="7" width="21.140625" customWidth="1"/>
    <col min="8" max="8" width="20.5703125" customWidth="1"/>
    <col min="9" max="9" width="13.140625" customWidth="1"/>
    <col min="10" max="10" width="10.28515625" customWidth="1"/>
    <col min="11" max="11" width="12.42578125" customWidth="1"/>
    <col min="13" max="13" width="133.85546875" customWidth="1"/>
    <col min="14" max="14" width="80.5703125" customWidth="1"/>
    <col min="15" max="15" width="145" bestFit="1" customWidth="1"/>
    <col min="16" max="31" width="80.5703125" customWidth="1"/>
  </cols>
  <sheetData>
    <row r="1" spans="1:31" ht="15.75" customHeight="1">
      <c r="A1" s="594" t="s">
        <v>0</v>
      </c>
      <c r="B1" s="569"/>
      <c r="C1" s="569"/>
      <c r="D1" s="569"/>
      <c r="E1" s="569"/>
      <c r="F1" s="569"/>
      <c r="G1" s="569"/>
      <c r="H1" s="569"/>
      <c r="I1" s="569"/>
      <c r="J1" s="569"/>
      <c r="K1" s="569"/>
      <c r="L1" s="569"/>
      <c r="M1" s="569"/>
      <c r="N1" s="569"/>
      <c r="O1" s="233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</row>
    <row r="2" spans="1:31" ht="15.75" customHeight="1">
      <c r="A2" s="594" t="s">
        <v>126</v>
      </c>
      <c r="B2" s="569"/>
      <c r="C2" s="569"/>
      <c r="D2" s="569"/>
      <c r="E2" s="569"/>
      <c r="F2" s="569"/>
      <c r="G2" s="569"/>
      <c r="H2" s="569"/>
      <c r="I2" s="569"/>
      <c r="J2" s="569"/>
      <c r="K2" s="569"/>
      <c r="L2" s="569"/>
      <c r="M2" s="569"/>
      <c r="N2" s="569"/>
      <c r="O2" s="233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  <c r="AE2" s="158"/>
    </row>
    <row r="3" spans="1:31" ht="15.75" customHeight="1">
      <c r="A3" s="570" t="s">
        <v>2</v>
      </c>
      <c r="B3" s="569"/>
      <c r="C3" s="569"/>
      <c r="D3" s="569"/>
      <c r="E3" s="569"/>
      <c r="F3" s="569"/>
      <c r="G3" s="569"/>
      <c r="H3" s="569"/>
      <c r="I3" s="569"/>
      <c r="J3" s="569"/>
      <c r="K3" s="569"/>
      <c r="L3" s="569"/>
      <c r="M3" s="569"/>
      <c r="N3" s="569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15.75" customHeight="1">
      <c r="A4" s="585" t="s">
        <v>3</v>
      </c>
      <c r="B4" s="569"/>
      <c r="C4" s="569"/>
      <c r="D4" s="569"/>
      <c r="E4" s="569"/>
      <c r="F4" s="569"/>
      <c r="G4" s="569"/>
      <c r="H4" s="569"/>
      <c r="I4" s="569"/>
      <c r="J4" s="569"/>
      <c r="K4" s="234"/>
      <c r="L4" s="235"/>
      <c r="M4" s="236"/>
      <c r="N4" s="237"/>
      <c r="O4" s="238"/>
      <c r="P4" s="238"/>
      <c r="Q4" s="238"/>
      <c r="R4" s="238"/>
      <c r="S4" s="238"/>
      <c r="T4" s="238"/>
      <c r="U4" s="238"/>
      <c r="V4" s="238"/>
      <c r="W4" s="238"/>
      <c r="X4" s="238"/>
      <c r="Y4" s="238"/>
      <c r="Z4" s="238"/>
      <c r="AA4" s="238"/>
      <c r="AB4" s="238"/>
      <c r="AC4" s="238"/>
      <c r="AD4" s="238"/>
      <c r="AE4" s="238"/>
    </row>
    <row r="5" spans="1:31" ht="15.75" customHeight="1">
      <c r="A5" s="600" t="s">
        <v>38</v>
      </c>
      <c r="B5" s="573"/>
      <c r="C5" s="573"/>
      <c r="D5" s="573"/>
      <c r="E5" s="601" t="s">
        <v>39</v>
      </c>
      <c r="F5" s="573"/>
      <c r="G5" s="240" t="s">
        <v>103</v>
      </c>
      <c r="H5" s="241" t="s">
        <v>103</v>
      </c>
      <c r="I5" s="242" t="s">
        <v>103</v>
      </c>
      <c r="J5" s="243" t="s">
        <v>103</v>
      </c>
      <c r="K5" s="244" t="s">
        <v>103</v>
      </c>
      <c r="L5" s="242" t="s">
        <v>103</v>
      </c>
      <c r="M5" s="602" t="s">
        <v>11</v>
      </c>
      <c r="N5" s="597" t="s">
        <v>104</v>
      </c>
      <c r="O5" s="598" t="s">
        <v>127</v>
      </c>
      <c r="P5" s="245"/>
      <c r="Q5" s="245"/>
      <c r="R5" s="245"/>
      <c r="S5" s="245"/>
      <c r="T5" s="245"/>
      <c r="U5" s="245"/>
      <c r="V5" s="245"/>
      <c r="W5" s="245"/>
      <c r="X5" s="245"/>
      <c r="Y5" s="245"/>
      <c r="Z5" s="245"/>
      <c r="AA5" s="245"/>
      <c r="AB5" s="245"/>
      <c r="AC5" s="245"/>
      <c r="AD5" s="245"/>
      <c r="AE5" s="245"/>
    </row>
    <row r="6" spans="1:31" ht="15.75" customHeight="1">
      <c r="A6" s="147" t="s">
        <v>9</v>
      </c>
      <c r="B6" s="246" t="s">
        <v>10</v>
      </c>
      <c r="C6" s="146" t="s">
        <v>33</v>
      </c>
      <c r="D6" s="147" t="s">
        <v>35</v>
      </c>
      <c r="E6" s="247" t="s">
        <v>43</v>
      </c>
      <c r="F6" s="248" t="s">
        <v>44</v>
      </c>
      <c r="G6" s="249" t="s">
        <v>12</v>
      </c>
      <c r="H6" s="250" t="s">
        <v>105</v>
      </c>
      <c r="I6" s="248" t="s">
        <v>106</v>
      </c>
      <c r="J6" s="251" t="s">
        <v>13</v>
      </c>
      <c r="K6" s="252" t="s">
        <v>107</v>
      </c>
      <c r="L6" s="248" t="s">
        <v>108</v>
      </c>
      <c r="M6" s="603"/>
      <c r="N6" s="593"/>
      <c r="O6" s="593"/>
      <c r="P6" s="245"/>
      <c r="Q6" s="245"/>
      <c r="R6" s="245"/>
      <c r="S6" s="245"/>
      <c r="T6" s="245"/>
      <c r="U6" s="245"/>
      <c r="V6" s="245"/>
      <c r="W6" s="245"/>
      <c r="X6" s="245"/>
      <c r="Y6" s="245"/>
      <c r="Z6" s="245"/>
      <c r="AA6" s="245"/>
      <c r="AB6" s="245"/>
      <c r="AC6" s="245"/>
      <c r="AD6" s="245"/>
      <c r="AE6" s="245"/>
    </row>
    <row r="7" spans="1:31" ht="15.75" customHeight="1">
      <c r="A7" s="239"/>
      <c r="B7" s="253"/>
      <c r="C7" s="253"/>
      <c r="D7" s="253"/>
      <c r="E7" s="143"/>
      <c r="F7" s="254" t="s">
        <v>14</v>
      </c>
      <c r="G7" s="255">
        <f>G9+G365+G427</f>
        <v>1193805</v>
      </c>
      <c r="H7" s="256">
        <v>1</v>
      </c>
      <c r="I7" s="257">
        <f>I9+I365+I427</f>
        <v>1877453.3684210526</v>
      </c>
      <c r="J7" s="256">
        <v>1</v>
      </c>
      <c r="K7" s="255">
        <f>I7-G7</f>
        <v>683648.36842105258</v>
      </c>
      <c r="L7" s="256">
        <f>G7/I7</f>
        <v>0.63586399538860228</v>
      </c>
      <c r="M7" s="258"/>
      <c r="N7" s="259"/>
      <c r="O7" s="259"/>
      <c r="P7" s="260"/>
      <c r="Q7" s="260"/>
      <c r="R7" s="260"/>
      <c r="S7" s="260"/>
      <c r="T7" s="260"/>
      <c r="U7" s="260"/>
      <c r="V7" s="260"/>
      <c r="W7" s="260"/>
      <c r="X7" s="260"/>
      <c r="Y7" s="260"/>
      <c r="Z7" s="260"/>
      <c r="AA7" s="260"/>
      <c r="AB7" s="260"/>
      <c r="AC7" s="260"/>
      <c r="AD7" s="260"/>
      <c r="AE7" s="260"/>
    </row>
    <row r="8" spans="1:31" ht="15.75" customHeight="1">
      <c r="A8" s="147"/>
      <c r="B8" s="146"/>
      <c r="C8" s="146"/>
      <c r="D8" s="146"/>
      <c r="E8" s="143"/>
      <c r="F8" s="261"/>
      <c r="G8" s="261"/>
      <c r="H8" s="157"/>
      <c r="I8" s="262"/>
      <c r="J8" s="263"/>
      <c r="K8" s="95"/>
      <c r="L8" s="263"/>
      <c r="M8" s="264"/>
      <c r="N8" s="170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ht="15.75" customHeight="1">
      <c r="A9" s="265" t="s">
        <v>45</v>
      </c>
      <c r="B9" s="266" t="s">
        <v>46</v>
      </c>
      <c r="C9" s="266" t="s">
        <v>46</v>
      </c>
      <c r="D9" s="266" t="s">
        <v>46</v>
      </c>
      <c r="E9" s="267"/>
      <c r="F9" s="268" t="s">
        <v>15</v>
      </c>
      <c r="G9" s="269">
        <f>SUM(G11,G33,G52,G66,G80,G179,G220,G239,G287,G341)</f>
        <v>1006930</v>
      </c>
      <c r="H9" s="270">
        <f>G9/G7</f>
        <v>0.84346270957149616</v>
      </c>
      <c r="I9" s="271">
        <f>I11+I33+I52+I66+I80+I179+I220+I239+I287+I341</f>
        <v>1539832.4736842106</v>
      </c>
      <c r="J9" s="270">
        <f>I9/$I$7</f>
        <v>0.82017082266028107</v>
      </c>
      <c r="K9" s="269">
        <f>K11+K33+K52+K66+K80+K179+K220+K239+K287+K341</f>
        <v>417837.4736842105</v>
      </c>
      <c r="L9" s="270">
        <f>G9/I9</f>
        <v>0.65392178513472599</v>
      </c>
      <c r="M9" s="272"/>
      <c r="N9" s="273"/>
      <c r="O9" s="274"/>
      <c r="P9" s="274"/>
      <c r="Q9" s="274"/>
      <c r="R9" s="274"/>
      <c r="S9" s="274"/>
      <c r="T9" s="274"/>
      <c r="U9" s="274"/>
      <c r="V9" s="274"/>
      <c r="W9" s="274"/>
      <c r="X9" s="274"/>
      <c r="Y9" s="274"/>
      <c r="Z9" s="274"/>
      <c r="AA9" s="274"/>
      <c r="AB9" s="274"/>
      <c r="AC9" s="274"/>
      <c r="AD9" s="274"/>
      <c r="AE9" s="274"/>
    </row>
    <row r="10" spans="1:31" ht="15.75" customHeight="1">
      <c r="A10" s="147"/>
      <c r="B10" s="146"/>
      <c r="C10" s="146"/>
      <c r="D10" s="146"/>
      <c r="E10" s="143"/>
      <c r="F10" s="264"/>
      <c r="G10" s="264"/>
      <c r="H10" s="115"/>
      <c r="I10" s="275"/>
      <c r="J10" s="276"/>
      <c r="K10" s="110"/>
      <c r="L10" s="276"/>
      <c r="M10" s="264"/>
      <c r="N10" s="170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ht="15.75" customHeight="1">
      <c r="A11" s="277"/>
      <c r="B11" s="278" t="s">
        <v>45</v>
      </c>
      <c r="C11" s="278" t="s">
        <v>46</v>
      </c>
      <c r="D11" s="278" t="s">
        <v>46</v>
      </c>
      <c r="E11" s="279"/>
      <c r="F11" s="280" t="s">
        <v>16</v>
      </c>
      <c r="G11" s="281">
        <f>SUM(G12,G24,G29)</f>
        <v>48600</v>
      </c>
      <c r="H11" s="282">
        <f>G11/$G$9</f>
        <v>4.8265519946768892E-2</v>
      </c>
      <c r="I11" s="283">
        <f>I12+I24+I29</f>
        <v>147684.21052631579</v>
      </c>
      <c r="J11" s="282">
        <f>I11/$I$9</f>
        <v>9.5909271333241744E-2</v>
      </c>
      <c r="K11" s="281">
        <f>SUM(K12,K24,K29)</f>
        <v>99084.210526315786</v>
      </c>
      <c r="L11" s="282">
        <f t="shared" ref="L11:L13" si="0">G11/I11</f>
        <v>0.32908054169636491</v>
      </c>
      <c r="M11" s="280"/>
      <c r="N11" s="284"/>
      <c r="O11" s="285"/>
      <c r="P11" s="285"/>
      <c r="Q11" s="285"/>
      <c r="R11" s="285"/>
      <c r="S11" s="285"/>
      <c r="T11" s="285"/>
      <c r="U11" s="285"/>
      <c r="V11" s="285"/>
      <c r="W11" s="285"/>
      <c r="X11" s="285"/>
      <c r="Y11" s="285"/>
      <c r="Z11" s="285"/>
      <c r="AA11" s="285"/>
      <c r="AB11" s="285"/>
      <c r="AC11" s="285"/>
      <c r="AD11" s="285"/>
      <c r="AE11" s="285"/>
    </row>
    <row r="12" spans="1:31" ht="15.75" customHeight="1">
      <c r="A12" s="286"/>
      <c r="B12" s="287"/>
      <c r="C12" s="288" t="s">
        <v>46</v>
      </c>
      <c r="D12" s="288" t="s">
        <v>45</v>
      </c>
      <c r="E12" s="289"/>
      <c r="F12" s="290" t="s">
        <v>47</v>
      </c>
      <c r="G12" s="291">
        <f>SUM(G13:G23)</f>
        <v>48600</v>
      </c>
      <c r="H12" s="292">
        <f>G12/G11</f>
        <v>1</v>
      </c>
      <c r="I12" s="291">
        <f>SUM(I13:I23)</f>
        <v>125700</v>
      </c>
      <c r="J12" s="293">
        <f>I12/$I$11</f>
        <v>0.85114041339985747</v>
      </c>
      <c r="K12" s="291">
        <f>SUM(K13:K23)</f>
        <v>77100</v>
      </c>
      <c r="L12" s="293">
        <f t="shared" si="0"/>
        <v>0.38663484486873506</v>
      </c>
      <c r="M12" s="294"/>
      <c r="N12" s="295"/>
      <c r="O12" s="296"/>
      <c r="P12" s="296"/>
      <c r="Q12" s="296"/>
      <c r="R12" s="296"/>
      <c r="S12" s="296"/>
      <c r="T12" s="296"/>
      <c r="U12" s="296"/>
      <c r="V12" s="296"/>
      <c r="W12" s="296"/>
      <c r="X12" s="296"/>
      <c r="Y12" s="296"/>
      <c r="Z12" s="296"/>
      <c r="AA12" s="296"/>
      <c r="AB12" s="296"/>
      <c r="AC12" s="296"/>
      <c r="AD12" s="296"/>
      <c r="AE12" s="296"/>
    </row>
    <row r="13" spans="1:31" ht="15.75" customHeight="1">
      <c r="A13" s="147"/>
      <c r="B13" s="297"/>
      <c r="C13" s="297"/>
      <c r="D13" s="297"/>
      <c r="E13" s="143" t="s">
        <v>128</v>
      </c>
      <c r="F13" s="298" t="s">
        <v>129</v>
      </c>
      <c r="G13" s="299">
        <v>33600</v>
      </c>
      <c r="H13" s="300">
        <f>G13/$G$12</f>
        <v>0.69135802469135799</v>
      </c>
      <c r="I13" s="301">
        <v>69000</v>
      </c>
      <c r="J13" s="302">
        <f>I13/$I$12</f>
        <v>0.54892601431980903</v>
      </c>
      <c r="K13" s="301">
        <f>I13-G13</f>
        <v>35400</v>
      </c>
      <c r="L13" s="302">
        <f t="shared" si="0"/>
        <v>0.48695652173913045</v>
      </c>
      <c r="M13" s="303" t="s">
        <v>130</v>
      </c>
      <c r="N13" s="304"/>
      <c r="O13" s="3" t="s">
        <v>131</v>
      </c>
      <c r="P13" s="304"/>
      <c r="Q13" s="304"/>
      <c r="R13" s="304"/>
      <c r="S13" s="304"/>
      <c r="T13" s="304"/>
      <c r="U13" s="304"/>
      <c r="V13" s="304"/>
      <c r="W13" s="304"/>
      <c r="X13" s="304"/>
      <c r="Y13" s="304"/>
      <c r="Z13" s="304"/>
      <c r="AA13" s="304"/>
      <c r="AB13" s="304"/>
      <c r="AC13" s="304"/>
      <c r="AD13" s="304"/>
      <c r="AE13" s="304"/>
    </row>
    <row r="14" spans="1:31" ht="15.75" customHeight="1">
      <c r="A14" s="147"/>
      <c r="B14" s="297"/>
      <c r="C14" s="297"/>
      <c r="D14" s="297"/>
      <c r="E14" s="143"/>
      <c r="F14" s="298"/>
      <c r="G14" s="299"/>
      <c r="H14" s="300"/>
      <c r="I14" s="305"/>
      <c r="J14" s="302"/>
      <c r="K14" s="301"/>
      <c r="L14" s="302"/>
      <c r="M14" s="303" t="s">
        <v>132</v>
      </c>
      <c r="N14" s="304"/>
      <c r="O14" s="3"/>
      <c r="P14" s="304"/>
      <c r="Q14" s="304"/>
      <c r="R14" s="304"/>
      <c r="S14" s="304"/>
      <c r="T14" s="304"/>
      <c r="U14" s="304"/>
      <c r="V14" s="304"/>
      <c r="W14" s="304"/>
      <c r="X14" s="304"/>
      <c r="Y14" s="304"/>
      <c r="Z14" s="304"/>
      <c r="AA14" s="304"/>
      <c r="AB14" s="304"/>
      <c r="AC14" s="304"/>
      <c r="AD14" s="304"/>
      <c r="AE14" s="304"/>
    </row>
    <row r="15" spans="1:31" ht="15.75" customHeight="1">
      <c r="A15" s="147"/>
      <c r="B15" s="297"/>
      <c r="C15" s="297"/>
      <c r="D15" s="297"/>
      <c r="E15" s="143"/>
      <c r="F15" s="298"/>
      <c r="G15" s="298"/>
      <c r="H15" s="300"/>
      <c r="I15" s="305"/>
      <c r="J15" s="302"/>
      <c r="K15" s="301"/>
      <c r="L15" s="302"/>
      <c r="M15" s="303" t="s">
        <v>133</v>
      </c>
      <c r="N15" s="170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 ht="15.75" customHeight="1">
      <c r="A16" s="147"/>
      <c r="B16" s="297"/>
      <c r="C16" s="297"/>
      <c r="D16" s="297"/>
      <c r="E16" s="143" t="s">
        <v>134</v>
      </c>
      <c r="F16" s="298" t="s">
        <v>135</v>
      </c>
      <c r="G16" s="299">
        <v>8000</v>
      </c>
      <c r="H16" s="300">
        <f t="shared" ref="H16:H17" si="1">G16/$G$12</f>
        <v>0.16460905349794239</v>
      </c>
      <c r="I16" s="301">
        <v>18000</v>
      </c>
      <c r="J16" s="302">
        <f t="shared" ref="J16:J17" si="2">I16/$I$12</f>
        <v>0.14319809069212411</v>
      </c>
      <c r="K16" s="301">
        <f t="shared" ref="K16:K17" si="3">I16-G16</f>
        <v>10000</v>
      </c>
      <c r="L16" s="302">
        <f t="shared" ref="L16:L17" si="4">G16/I16</f>
        <v>0.44444444444444442</v>
      </c>
      <c r="M16" s="303" t="s">
        <v>136</v>
      </c>
      <c r="N16" s="170" t="s">
        <v>137</v>
      </c>
      <c r="O16" s="3" t="s">
        <v>131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 ht="15.75" customHeight="1">
      <c r="A17" s="147"/>
      <c r="B17" s="297"/>
      <c r="C17" s="297"/>
      <c r="D17" s="297"/>
      <c r="E17" s="143" t="s">
        <v>138</v>
      </c>
      <c r="F17" s="298" t="s">
        <v>139</v>
      </c>
      <c r="G17" s="298">
        <v>0</v>
      </c>
      <c r="H17" s="300">
        <f t="shared" si="1"/>
        <v>0</v>
      </c>
      <c r="I17" s="301">
        <v>7200</v>
      </c>
      <c r="J17" s="302">
        <f t="shared" si="2"/>
        <v>5.7279236276849645E-2</v>
      </c>
      <c r="K17" s="301">
        <f t="shared" si="3"/>
        <v>7200</v>
      </c>
      <c r="L17" s="302">
        <f t="shared" si="4"/>
        <v>0</v>
      </c>
      <c r="M17" s="303" t="s">
        <v>140</v>
      </c>
      <c r="N17" s="170"/>
      <c r="O17" s="3" t="s">
        <v>141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1" ht="15.75" customHeight="1">
      <c r="A18" s="147"/>
      <c r="B18" s="297"/>
      <c r="C18" s="297"/>
      <c r="D18" s="297"/>
      <c r="E18" s="231"/>
      <c r="F18" s="306"/>
      <c r="G18" s="298"/>
      <c r="H18" s="300"/>
      <c r="I18" s="305"/>
      <c r="J18" s="302"/>
      <c r="K18" s="301"/>
      <c r="L18" s="302"/>
      <c r="M18" s="303" t="s">
        <v>142</v>
      </c>
      <c r="N18" s="307"/>
      <c r="O18" s="3"/>
      <c r="P18" s="304"/>
      <c r="Q18" s="304"/>
      <c r="R18" s="304"/>
      <c r="S18" s="304"/>
      <c r="T18" s="304"/>
      <c r="U18" s="304"/>
      <c r="V18" s="304"/>
      <c r="W18" s="304"/>
      <c r="X18" s="304"/>
      <c r="Y18" s="304"/>
      <c r="Z18" s="304"/>
      <c r="AA18" s="304"/>
      <c r="AB18" s="304"/>
      <c r="AC18" s="304"/>
      <c r="AD18" s="304"/>
      <c r="AE18" s="304"/>
    </row>
    <row r="19" spans="1:31" ht="15.75" customHeight="1">
      <c r="A19" s="147"/>
      <c r="B19" s="297"/>
      <c r="C19" s="297"/>
      <c r="D19" s="297"/>
      <c r="E19" s="143" t="s">
        <v>143</v>
      </c>
      <c r="F19" s="3" t="s">
        <v>144</v>
      </c>
      <c r="G19" s="298">
        <v>0</v>
      </c>
      <c r="H19" s="300">
        <f t="shared" ref="H19:H22" si="5">G19/$G$12</f>
        <v>0</v>
      </c>
      <c r="I19" s="301">
        <v>1000</v>
      </c>
      <c r="J19" s="302">
        <f t="shared" ref="J19:J22" si="6">I19/$I$12</f>
        <v>7.955449482895784E-3</v>
      </c>
      <c r="K19" s="301">
        <f t="shared" ref="K19:K22" si="7">I19-G19</f>
        <v>1000</v>
      </c>
      <c r="L19" s="302">
        <f t="shared" ref="L19:L22" si="8">G19/I19</f>
        <v>0</v>
      </c>
      <c r="M19" s="303" t="s">
        <v>145</v>
      </c>
      <c r="N19" s="307"/>
      <c r="O19" s="3" t="s">
        <v>131</v>
      </c>
      <c r="P19" s="304"/>
      <c r="Q19" s="304"/>
      <c r="R19" s="304"/>
      <c r="S19" s="304"/>
      <c r="T19" s="304"/>
      <c r="U19" s="304"/>
      <c r="V19" s="304"/>
      <c r="W19" s="304"/>
      <c r="X19" s="304"/>
      <c r="Y19" s="304"/>
      <c r="Z19" s="304"/>
      <c r="AA19" s="304"/>
      <c r="AB19" s="304"/>
      <c r="AC19" s="304"/>
      <c r="AD19" s="304"/>
      <c r="AE19" s="304"/>
    </row>
    <row r="20" spans="1:31" ht="15.75" customHeight="1">
      <c r="A20" s="147"/>
      <c r="B20" s="297"/>
      <c r="C20" s="297"/>
      <c r="D20" s="297"/>
      <c r="E20" s="143" t="s">
        <v>146</v>
      </c>
      <c r="F20" s="3" t="s">
        <v>147</v>
      </c>
      <c r="G20" s="299">
        <v>7000</v>
      </c>
      <c r="H20" s="300">
        <f t="shared" si="5"/>
        <v>0.1440329218106996</v>
      </c>
      <c r="I20" s="308">
        <v>15000</v>
      </c>
      <c r="J20" s="302">
        <f t="shared" si="6"/>
        <v>0.11933174224343675</v>
      </c>
      <c r="K20" s="301">
        <f t="shared" si="7"/>
        <v>8000</v>
      </c>
      <c r="L20" s="302">
        <f t="shared" si="8"/>
        <v>0.46666666666666667</v>
      </c>
      <c r="M20" s="309" t="s">
        <v>148</v>
      </c>
      <c r="N20" s="307"/>
      <c r="O20" s="3" t="s">
        <v>131</v>
      </c>
      <c r="P20" s="304"/>
      <c r="Q20" s="304"/>
      <c r="R20" s="304"/>
      <c r="S20" s="304"/>
      <c r="T20" s="304"/>
      <c r="U20" s="304"/>
      <c r="V20" s="304"/>
      <c r="W20" s="304"/>
      <c r="X20" s="304"/>
      <c r="Y20" s="304"/>
      <c r="Z20" s="304"/>
      <c r="AA20" s="304"/>
      <c r="AB20" s="304"/>
      <c r="AC20" s="304"/>
      <c r="AD20" s="304"/>
      <c r="AE20" s="304"/>
    </row>
    <row r="21" spans="1:31" ht="15.75" customHeight="1">
      <c r="A21" s="147"/>
      <c r="B21" s="297"/>
      <c r="C21" s="297"/>
      <c r="D21" s="297"/>
      <c r="E21" s="143" t="s">
        <v>149</v>
      </c>
      <c r="F21" s="298" t="s">
        <v>150</v>
      </c>
      <c r="G21" s="298">
        <v>0</v>
      </c>
      <c r="H21" s="300">
        <f t="shared" si="5"/>
        <v>0</v>
      </c>
      <c r="I21" s="301">
        <v>500</v>
      </c>
      <c r="J21" s="302">
        <f t="shared" si="6"/>
        <v>3.977724741447892E-3</v>
      </c>
      <c r="K21" s="301">
        <f t="shared" si="7"/>
        <v>500</v>
      </c>
      <c r="L21" s="302">
        <f t="shared" si="8"/>
        <v>0</v>
      </c>
      <c r="M21" s="303" t="s">
        <v>151</v>
      </c>
      <c r="N21" s="307"/>
      <c r="O21" s="3" t="s">
        <v>131</v>
      </c>
      <c r="P21" s="304"/>
      <c r="Q21" s="304"/>
      <c r="R21" s="304"/>
      <c r="S21" s="304"/>
      <c r="T21" s="304"/>
      <c r="U21" s="304"/>
      <c r="V21" s="304"/>
      <c r="W21" s="304"/>
      <c r="X21" s="304"/>
      <c r="Y21" s="304"/>
      <c r="Z21" s="304"/>
      <c r="AA21" s="304"/>
      <c r="AB21" s="304"/>
      <c r="AC21" s="304"/>
      <c r="AD21" s="304"/>
      <c r="AE21" s="304"/>
    </row>
    <row r="22" spans="1:31" ht="15.75" customHeight="1">
      <c r="A22" s="147"/>
      <c r="B22" s="297"/>
      <c r="C22" s="297"/>
      <c r="D22" s="297"/>
      <c r="E22" s="143" t="s">
        <v>152</v>
      </c>
      <c r="F22" s="298" t="s">
        <v>153</v>
      </c>
      <c r="G22" s="298">
        <v>0</v>
      </c>
      <c r="H22" s="300">
        <f t="shared" si="5"/>
        <v>0</v>
      </c>
      <c r="I22" s="97">
        <v>15000</v>
      </c>
      <c r="J22" s="115">
        <f t="shared" si="6"/>
        <v>0.11933174224343675</v>
      </c>
      <c r="K22" s="97">
        <f t="shared" si="7"/>
        <v>15000</v>
      </c>
      <c r="L22" s="115">
        <f t="shared" si="8"/>
        <v>0</v>
      </c>
      <c r="M22" s="310" t="s">
        <v>154</v>
      </c>
      <c r="N22" s="307"/>
      <c r="O22" s="3" t="s">
        <v>141</v>
      </c>
      <c r="P22" s="304"/>
      <c r="Q22" s="304"/>
      <c r="R22" s="304"/>
      <c r="S22" s="304"/>
      <c r="T22" s="304"/>
      <c r="U22" s="304"/>
      <c r="V22" s="304"/>
      <c r="W22" s="304"/>
      <c r="X22" s="304"/>
      <c r="Y22" s="304"/>
      <c r="Z22" s="304"/>
      <c r="AA22" s="304"/>
      <c r="AB22" s="304"/>
      <c r="AC22" s="304"/>
      <c r="AD22" s="304"/>
      <c r="AE22" s="304"/>
    </row>
    <row r="23" spans="1:31" ht="15.75" customHeight="1">
      <c r="A23" s="147"/>
      <c r="B23" s="297"/>
      <c r="C23" s="297"/>
      <c r="D23" s="297"/>
      <c r="E23" s="231"/>
      <c r="F23" s="306"/>
      <c r="G23" s="298"/>
      <c r="H23" s="300"/>
      <c r="I23" s="311"/>
      <c r="J23" s="115"/>
      <c r="K23" s="97"/>
      <c r="L23" s="115"/>
      <c r="M23" s="310" t="s">
        <v>155</v>
      </c>
      <c r="N23" s="307"/>
      <c r="O23" s="3"/>
      <c r="P23" s="304"/>
      <c r="Q23" s="304"/>
      <c r="R23" s="304"/>
      <c r="S23" s="304"/>
      <c r="T23" s="304"/>
      <c r="U23" s="304"/>
      <c r="V23" s="304"/>
      <c r="W23" s="304"/>
      <c r="X23" s="304"/>
      <c r="Y23" s="304"/>
      <c r="Z23" s="304"/>
      <c r="AA23" s="304"/>
      <c r="AB23" s="304"/>
      <c r="AC23" s="304"/>
      <c r="AD23" s="304"/>
      <c r="AE23" s="304"/>
    </row>
    <row r="24" spans="1:31" ht="15.75" customHeight="1">
      <c r="A24" s="286"/>
      <c r="B24" s="287"/>
      <c r="C24" s="288" t="s">
        <v>46</v>
      </c>
      <c r="D24" s="288" t="s">
        <v>48</v>
      </c>
      <c r="E24" s="289"/>
      <c r="F24" s="290" t="s">
        <v>49</v>
      </c>
      <c r="G24" s="291">
        <f>SUM(G25:G27)</f>
        <v>0</v>
      </c>
      <c r="H24" s="292">
        <f>G24/G11</f>
        <v>0</v>
      </c>
      <c r="I24" s="312">
        <f>SUM(I25:I27)</f>
        <v>14600</v>
      </c>
      <c r="J24" s="293">
        <f>I24/I11</f>
        <v>9.885958660014256E-2</v>
      </c>
      <c r="K24" s="313">
        <f>SUM(K25:K27)</f>
        <v>14600</v>
      </c>
      <c r="L24" s="293">
        <f t="shared" ref="L24:L27" si="9">G24/I24</f>
        <v>0</v>
      </c>
      <c r="M24" s="294"/>
      <c r="N24" s="295"/>
      <c r="O24" s="296"/>
      <c r="P24" s="296"/>
      <c r="Q24" s="296"/>
      <c r="R24" s="296"/>
      <c r="S24" s="296"/>
      <c r="T24" s="296"/>
      <c r="U24" s="296"/>
      <c r="V24" s="296"/>
      <c r="W24" s="296"/>
      <c r="X24" s="296"/>
      <c r="Y24" s="296"/>
      <c r="Z24" s="296"/>
      <c r="AA24" s="296"/>
      <c r="AB24" s="296"/>
      <c r="AC24" s="296"/>
      <c r="AD24" s="296"/>
      <c r="AE24" s="296"/>
    </row>
    <row r="25" spans="1:31" ht="15.75" customHeight="1">
      <c r="A25" s="147"/>
      <c r="B25" s="297"/>
      <c r="C25" s="297"/>
      <c r="D25" s="297"/>
      <c r="E25" s="143" t="s">
        <v>128</v>
      </c>
      <c r="F25" s="3" t="s">
        <v>129</v>
      </c>
      <c r="G25" s="298">
        <v>0</v>
      </c>
      <c r="H25" s="300">
        <v>0</v>
      </c>
      <c r="I25" s="97">
        <v>9600</v>
      </c>
      <c r="J25" s="115">
        <f t="shared" ref="J25:J27" si="10">I25/$I$24</f>
        <v>0.65753424657534243</v>
      </c>
      <c r="K25" s="97">
        <f t="shared" ref="K25:K27" si="11">I25-G25</f>
        <v>9600</v>
      </c>
      <c r="L25" s="115">
        <f t="shared" si="9"/>
        <v>0</v>
      </c>
      <c r="M25" s="310" t="s">
        <v>156</v>
      </c>
      <c r="N25" s="307"/>
      <c r="O25" s="3"/>
      <c r="P25" s="304"/>
      <c r="Q25" s="304"/>
      <c r="R25" s="304"/>
      <c r="S25" s="304"/>
      <c r="T25" s="304"/>
      <c r="U25" s="304"/>
      <c r="V25" s="304"/>
      <c r="W25" s="304"/>
      <c r="X25" s="304"/>
      <c r="Y25" s="304"/>
      <c r="Z25" s="304"/>
      <c r="AA25" s="304"/>
      <c r="AB25" s="304"/>
      <c r="AC25" s="304"/>
      <c r="AD25" s="304"/>
      <c r="AE25" s="304"/>
    </row>
    <row r="26" spans="1:31" ht="15.75" customHeight="1">
      <c r="A26" s="147"/>
      <c r="B26" s="297"/>
      <c r="C26" s="297"/>
      <c r="D26" s="297"/>
      <c r="E26" s="143" t="s">
        <v>157</v>
      </c>
      <c r="F26" s="3" t="s">
        <v>158</v>
      </c>
      <c r="G26" s="298">
        <v>0</v>
      </c>
      <c r="H26" s="300">
        <v>0</v>
      </c>
      <c r="I26" s="97">
        <v>1000</v>
      </c>
      <c r="J26" s="115">
        <f t="shared" si="10"/>
        <v>6.8493150684931503E-2</v>
      </c>
      <c r="K26" s="97">
        <f t="shared" si="11"/>
        <v>1000</v>
      </c>
      <c r="L26" s="115">
        <f t="shared" si="9"/>
        <v>0</v>
      </c>
      <c r="M26" s="310" t="s">
        <v>159</v>
      </c>
      <c r="N26" s="170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 ht="15.75" customHeight="1">
      <c r="A27" s="147"/>
      <c r="B27" s="297"/>
      <c r="C27" s="297"/>
      <c r="D27" s="297"/>
      <c r="E27" s="143" t="s">
        <v>160</v>
      </c>
      <c r="F27" s="298" t="s">
        <v>161</v>
      </c>
      <c r="G27" s="298">
        <v>0</v>
      </c>
      <c r="H27" s="300">
        <v>0</v>
      </c>
      <c r="I27" s="97">
        <v>4000</v>
      </c>
      <c r="J27" s="115">
        <f t="shared" si="10"/>
        <v>0.27397260273972601</v>
      </c>
      <c r="K27" s="97">
        <f t="shared" si="11"/>
        <v>4000</v>
      </c>
      <c r="L27" s="115">
        <f t="shared" si="9"/>
        <v>0</v>
      </c>
      <c r="M27" s="310" t="s">
        <v>162</v>
      </c>
      <c r="N27" s="170" t="s">
        <v>163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 ht="15.75" customHeight="1">
      <c r="A28" s="147"/>
      <c r="B28" s="297"/>
      <c r="C28" s="297"/>
      <c r="D28" s="297"/>
      <c r="E28" s="231"/>
      <c r="F28" s="306"/>
      <c r="G28" s="298"/>
      <c r="H28" s="300"/>
      <c r="I28" s="314"/>
      <c r="J28" s="115"/>
      <c r="K28" s="97"/>
      <c r="L28" s="115"/>
      <c r="M28" s="264"/>
      <c r="N28" s="170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 ht="15.75" customHeight="1">
      <c r="A29" s="147"/>
      <c r="B29" s="315"/>
      <c r="C29" s="316" t="s">
        <v>50</v>
      </c>
      <c r="D29" s="316" t="s">
        <v>50</v>
      </c>
      <c r="E29" s="317"/>
      <c r="F29" s="290" t="s">
        <v>51</v>
      </c>
      <c r="G29" s="290">
        <v>0</v>
      </c>
      <c r="H29" s="292">
        <f>G29/G11</f>
        <v>0</v>
      </c>
      <c r="I29" s="312">
        <f>(I12+I24)/95*5</f>
        <v>7384.21052631579</v>
      </c>
      <c r="J29" s="293">
        <f>I29/I11</f>
        <v>0.05</v>
      </c>
      <c r="K29" s="318">
        <f>I29-G29</f>
        <v>7384.21052631579</v>
      </c>
      <c r="L29" s="319">
        <f>G29/I29</f>
        <v>0</v>
      </c>
      <c r="M29" s="320" t="s">
        <v>164</v>
      </c>
      <c r="N29" s="321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Y29" s="322"/>
      <c r="Z29" s="322"/>
      <c r="AA29" s="322"/>
      <c r="AB29" s="322"/>
      <c r="AC29" s="322"/>
      <c r="AD29" s="322"/>
      <c r="AE29" s="322"/>
    </row>
    <row r="30" spans="1:31" ht="15.75" customHeight="1">
      <c r="A30" s="147"/>
      <c r="B30" s="146"/>
      <c r="C30" s="146"/>
      <c r="D30" s="146"/>
      <c r="E30" s="143"/>
      <c r="F30" s="298"/>
      <c r="G30" s="298"/>
      <c r="H30" s="300"/>
      <c r="I30" s="323"/>
      <c r="J30" s="115"/>
      <c r="K30" s="97"/>
      <c r="L30" s="115"/>
      <c r="M30" s="264"/>
      <c r="N30" s="170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 ht="15.75" customHeight="1">
      <c r="A31" s="147"/>
      <c r="B31" s="146"/>
      <c r="C31" s="146"/>
      <c r="D31" s="146"/>
      <c r="E31" s="227"/>
      <c r="F31" s="298"/>
      <c r="G31" s="298"/>
      <c r="H31" s="300"/>
      <c r="I31" s="323"/>
      <c r="J31" s="115"/>
      <c r="K31" s="97"/>
      <c r="L31" s="115"/>
      <c r="M31" s="264"/>
      <c r="N31" s="170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 ht="15.75" customHeight="1">
      <c r="A32" s="324"/>
      <c r="B32" s="325"/>
      <c r="C32" s="325"/>
      <c r="D32" s="325"/>
      <c r="E32" s="227"/>
      <c r="F32" s="326"/>
      <c r="G32" s="326"/>
      <c r="H32" s="157"/>
      <c r="I32" s="327"/>
      <c r="J32" s="157"/>
      <c r="K32" s="121"/>
      <c r="L32" s="157"/>
      <c r="M32" s="326"/>
      <c r="N32" s="328"/>
      <c r="O32" s="329"/>
      <c r="P32" s="329"/>
      <c r="Q32" s="329"/>
      <c r="R32" s="329"/>
      <c r="S32" s="329"/>
      <c r="T32" s="329"/>
      <c r="U32" s="329"/>
      <c r="V32" s="329"/>
      <c r="W32" s="329"/>
      <c r="X32" s="329"/>
      <c r="Y32" s="329"/>
      <c r="Z32" s="329"/>
      <c r="AA32" s="329"/>
      <c r="AB32" s="329"/>
      <c r="AC32" s="329"/>
      <c r="AD32" s="329"/>
      <c r="AE32" s="329"/>
    </row>
    <row r="33" spans="1:31" ht="15.75" customHeight="1">
      <c r="A33" s="277"/>
      <c r="B33" s="278" t="s">
        <v>48</v>
      </c>
      <c r="C33" s="278" t="s">
        <v>46</v>
      </c>
      <c r="D33" s="278" t="s">
        <v>46</v>
      </c>
      <c r="E33" s="279"/>
      <c r="F33" s="280" t="s">
        <v>17</v>
      </c>
      <c r="G33" s="281">
        <f>G34+G48</f>
        <v>56943</v>
      </c>
      <c r="H33" s="282">
        <f>G33/$G$9</f>
        <v>5.6551100870964217E-2</v>
      </c>
      <c r="I33" s="330">
        <f>I34+I48</f>
        <v>84105.263157894733</v>
      </c>
      <c r="J33" s="282">
        <f>I33/$I$9</f>
        <v>5.4619748963121995E-2</v>
      </c>
      <c r="K33" s="331">
        <f>K34+K48</f>
        <v>27162.263157894737</v>
      </c>
      <c r="L33" s="282">
        <f t="shared" ref="L33:L35" si="12">G33/I33</f>
        <v>0.67704443053817276</v>
      </c>
      <c r="M33" s="280"/>
      <c r="N33" s="284"/>
      <c r="O33" s="285"/>
      <c r="P33" s="285"/>
      <c r="Q33" s="285"/>
      <c r="R33" s="285"/>
      <c r="S33" s="285"/>
      <c r="T33" s="285"/>
      <c r="U33" s="285"/>
      <c r="V33" s="285"/>
      <c r="W33" s="285"/>
      <c r="X33" s="285"/>
      <c r="Y33" s="285"/>
      <c r="Z33" s="285"/>
      <c r="AA33" s="285"/>
      <c r="AB33" s="285"/>
      <c r="AC33" s="285"/>
      <c r="AD33" s="285"/>
      <c r="AE33" s="285"/>
    </row>
    <row r="34" spans="1:31" ht="15.75" customHeight="1">
      <c r="A34" s="147"/>
      <c r="B34" s="315"/>
      <c r="C34" s="316" t="s">
        <v>46</v>
      </c>
      <c r="D34" s="316" t="s">
        <v>45</v>
      </c>
      <c r="E34" s="317"/>
      <c r="F34" s="294" t="s">
        <v>47</v>
      </c>
      <c r="G34" s="291">
        <f>SUM(G35:G47)</f>
        <v>53228</v>
      </c>
      <c r="H34" s="293">
        <f>G34/G33</f>
        <v>0.93475932072423296</v>
      </c>
      <c r="I34" s="332">
        <f>SUM(I35:I47)</f>
        <v>79900</v>
      </c>
      <c r="J34" s="293">
        <f>I34/$I$33</f>
        <v>0.95000000000000007</v>
      </c>
      <c r="K34" s="313">
        <f>SUM(K35:K47)</f>
        <v>26672</v>
      </c>
      <c r="L34" s="293">
        <f t="shared" si="12"/>
        <v>0.66618272841051318</v>
      </c>
      <c r="M34" s="294"/>
      <c r="N34" s="321"/>
      <c r="O34" s="322"/>
      <c r="P34" s="322"/>
      <c r="Q34" s="322"/>
      <c r="R34" s="322"/>
      <c r="S34" s="322"/>
      <c r="T34" s="322"/>
      <c r="U34" s="322"/>
      <c r="V34" s="322"/>
      <c r="W34" s="322"/>
      <c r="X34" s="322"/>
      <c r="Y34" s="322"/>
      <c r="Z34" s="322"/>
      <c r="AA34" s="322"/>
      <c r="AB34" s="322"/>
      <c r="AC34" s="322"/>
      <c r="AD34" s="322"/>
      <c r="AE34" s="322"/>
    </row>
    <row r="35" spans="1:31" ht="15.75" customHeight="1">
      <c r="A35" s="147"/>
      <c r="B35" s="297"/>
      <c r="C35" s="297"/>
      <c r="D35" s="297"/>
      <c r="E35" s="143" t="s">
        <v>128</v>
      </c>
      <c r="F35" s="3" t="s">
        <v>129</v>
      </c>
      <c r="G35" s="299">
        <v>19900</v>
      </c>
      <c r="H35" s="300">
        <f>G35/$G$34</f>
        <v>0.3738633801758473</v>
      </c>
      <c r="I35" s="97">
        <v>20000</v>
      </c>
      <c r="J35" s="115">
        <f>I35/$I$34</f>
        <v>0.25031289111389238</v>
      </c>
      <c r="K35" s="97">
        <f>I35-G35</f>
        <v>100</v>
      </c>
      <c r="L35" s="115">
        <f t="shared" si="12"/>
        <v>0.995</v>
      </c>
      <c r="M35" s="310" t="s">
        <v>165</v>
      </c>
      <c r="N35" s="170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 ht="15.75" customHeight="1">
      <c r="A36" s="147"/>
      <c r="B36" s="297"/>
      <c r="C36" s="297"/>
      <c r="D36" s="297"/>
      <c r="E36" s="231"/>
      <c r="F36" s="304"/>
      <c r="G36" s="299"/>
      <c r="H36" s="300"/>
      <c r="I36" s="314"/>
      <c r="J36" s="115"/>
      <c r="K36" s="97"/>
      <c r="L36" s="115"/>
      <c r="M36" s="310" t="s">
        <v>166</v>
      </c>
      <c r="N36" s="170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 ht="15.75" customHeight="1">
      <c r="A37" s="147"/>
      <c r="B37" s="297"/>
      <c r="C37" s="297"/>
      <c r="D37" s="297"/>
      <c r="E37" s="231"/>
      <c r="F37" s="304"/>
      <c r="G37" s="299"/>
      <c r="H37" s="300"/>
      <c r="I37" s="314"/>
      <c r="J37" s="115"/>
      <c r="K37" s="97"/>
      <c r="L37" s="115"/>
      <c r="M37" s="310" t="s">
        <v>167</v>
      </c>
      <c r="N37" s="170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ht="15.75" customHeight="1">
      <c r="A38" s="147"/>
      <c r="B38" s="297"/>
      <c r="C38" s="297"/>
      <c r="D38" s="297"/>
      <c r="E38" s="231"/>
      <c r="F38" s="304"/>
      <c r="G38" s="298"/>
      <c r="H38" s="300"/>
      <c r="I38" s="314"/>
      <c r="J38" s="115"/>
      <c r="K38" s="97"/>
      <c r="L38" s="115"/>
      <c r="M38" s="310" t="s">
        <v>168</v>
      </c>
      <c r="N38" s="170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ht="15.75" customHeight="1">
      <c r="A39" s="147"/>
      <c r="B39" s="297"/>
      <c r="C39" s="297"/>
      <c r="D39" s="297"/>
      <c r="E39" s="143" t="s">
        <v>134</v>
      </c>
      <c r="F39" s="3" t="s">
        <v>135</v>
      </c>
      <c r="G39" s="299">
        <v>3000</v>
      </c>
      <c r="H39" s="300">
        <f t="shared" ref="H39:H47" si="13">G39/$G$34</f>
        <v>5.6361313594348837E-2</v>
      </c>
      <c r="I39" s="97">
        <v>3000</v>
      </c>
      <c r="J39" s="115">
        <f t="shared" ref="J39:J47" si="14">I39/$I$34</f>
        <v>3.7546933667083858E-2</v>
      </c>
      <c r="K39" s="97">
        <f t="shared" ref="K39:K48" si="15">I39-G39</f>
        <v>0</v>
      </c>
      <c r="L39" s="115">
        <f t="shared" ref="L39:L48" si="16">G39/I39</f>
        <v>1</v>
      </c>
      <c r="M39" s="310" t="s">
        <v>169</v>
      </c>
      <c r="N39" s="170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 ht="15.75" customHeight="1">
      <c r="A40" s="147"/>
      <c r="B40" s="297"/>
      <c r="C40" s="297"/>
      <c r="D40" s="297"/>
      <c r="E40" s="143" t="s">
        <v>170</v>
      </c>
      <c r="F40" s="264" t="s">
        <v>171</v>
      </c>
      <c r="G40" s="299">
        <v>2902</v>
      </c>
      <c r="H40" s="300">
        <f t="shared" si="13"/>
        <v>5.4520177350266777E-2</v>
      </c>
      <c r="I40" s="97">
        <v>3000</v>
      </c>
      <c r="J40" s="115">
        <f t="shared" si="14"/>
        <v>3.7546933667083858E-2</v>
      </c>
      <c r="K40" s="97">
        <f t="shared" si="15"/>
        <v>98</v>
      </c>
      <c r="L40" s="115">
        <f t="shared" si="16"/>
        <v>0.96733333333333338</v>
      </c>
      <c r="M40" s="310" t="s">
        <v>172</v>
      </c>
      <c r="N40" s="170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 ht="15.75" customHeight="1">
      <c r="A41" s="147"/>
      <c r="B41" s="297"/>
      <c r="C41" s="297"/>
      <c r="D41" s="297"/>
      <c r="E41" s="143" t="s">
        <v>143</v>
      </c>
      <c r="F41" s="264" t="s">
        <v>144</v>
      </c>
      <c r="G41" s="299">
        <v>279</v>
      </c>
      <c r="H41" s="300">
        <f t="shared" si="13"/>
        <v>5.2416021642744419E-3</v>
      </c>
      <c r="I41" s="97">
        <v>300</v>
      </c>
      <c r="J41" s="115">
        <f t="shared" si="14"/>
        <v>3.7546933667083854E-3</v>
      </c>
      <c r="K41" s="97">
        <f t="shared" si="15"/>
        <v>21</v>
      </c>
      <c r="L41" s="115">
        <f t="shared" si="16"/>
        <v>0.93</v>
      </c>
      <c r="M41" s="310" t="s">
        <v>173</v>
      </c>
      <c r="N41" s="170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 ht="15.75" customHeight="1">
      <c r="A42" s="147"/>
      <c r="B42" s="297"/>
      <c r="C42" s="297"/>
      <c r="D42" s="297"/>
      <c r="E42" s="143" t="s">
        <v>174</v>
      </c>
      <c r="F42" s="264" t="s">
        <v>175</v>
      </c>
      <c r="G42" s="299">
        <v>17040</v>
      </c>
      <c r="H42" s="300">
        <f t="shared" si="13"/>
        <v>0.32013226121590138</v>
      </c>
      <c r="I42" s="97">
        <v>30000</v>
      </c>
      <c r="J42" s="115">
        <f t="shared" si="14"/>
        <v>0.37546933667083854</v>
      </c>
      <c r="K42" s="97">
        <f t="shared" si="15"/>
        <v>12960</v>
      </c>
      <c r="L42" s="115">
        <f t="shared" si="16"/>
        <v>0.56799999999999995</v>
      </c>
      <c r="M42" s="310" t="s">
        <v>176</v>
      </c>
      <c r="N42" s="170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 ht="15.75" customHeight="1">
      <c r="A43" s="147"/>
      <c r="B43" s="297"/>
      <c r="C43" s="297"/>
      <c r="D43" s="297"/>
      <c r="E43" s="143" t="s">
        <v>177</v>
      </c>
      <c r="F43" s="264" t="s">
        <v>178</v>
      </c>
      <c r="G43" s="299">
        <v>100</v>
      </c>
      <c r="H43" s="300">
        <f t="shared" si="13"/>
        <v>1.8787104531449612E-3</v>
      </c>
      <c r="I43" s="97">
        <v>100</v>
      </c>
      <c r="J43" s="115">
        <f t="shared" si="14"/>
        <v>1.2515644555694619E-3</v>
      </c>
      <c r="K43" s="97">
        <f t="shared" si="15"/>
        <v>0</v>
      </c>
      <c r="L43" s="115">
        <f t="shared" si="16"/>
        <v>1</v>
      </c>
      <c r="M43" s="310" t="s">
        <v>179</v>
      </c>
      <c r="N43" s="170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 ht="15.75" customHeight="1">
      <c r="A44" s="147"/>
      <c r="B44" s="297"/>
      <c r="C44" s="297"/>
      <c r="D44" s="297"/>
      <c r="E44" s="143" t="s">
        <v>180</v>
      </c>
      <c r="F44" s="264" t="s">
        <v>181</v>
      </c>
      <c r="G44" s="299">
        <v>0</v>
      </c>
      <c r="H44" s="300">
        <f t="shared" si="13"/>
        <v>0</v>
      </c>
      <c r="I44" s="97">
        <v>8000</v>
      </c>
      <c r="J44" s="115">
        <f t="shared" si="14"/>
        <v>0.10012515644555695</v>
      </c>
      <c r="K44" s="97">
        <f t="shared" si="15"/>
        <v>8000</v>
      </c>
      <c r="L44" s="115">
        <f t="shared" si="16"/>
        <v>0</v>
      </c>
      <c r="M44" s="310" t="s">
        <v>182</v>
      </c>
      <c r="N44" s="170"/>
      <c r="O44" s="3" t="s">
        <v>183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 ht="15.75" customHeight="1">
      <c r="A45" s="147"/>
      <c r="B45" s="297"/>
      <c r="C45" s="297"/>
      <c r="D45" s="297"/>
      <c r="E45" s="143" t="s">
        <v>149</v>
      </c>
      <c r="F45" s="264" t="s">
        <v>150</v>
      </c>
      <c r="G45" s="299">
        <v>0</v>
      </c>
      <c r="H45" s="300">
        <f t="shared" si="13"/>
        <v>0</v>
      </c>
      <c r="I45" s="97">
        <v>500</v>
      </c>
      <c r="J45" s="115">
        <f t="shared" si="14"/>
        <v>6.2578222778473091E-3</v>
      </c>
      <c r="K45" s="97">
        <f t="shared" si="15"/>
        <v>500</v>
      </c>
      <c r="L45" s="115">
        <f t="shared" si="16"/>
        <v>0</v>
      </c>
      <c r="M45" s="310" t="s">
        <v>184</v>
      </c>
      <c r="N45" s="170"/>
      <c r="O45" s="3" t="s">
        <v>183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 ht="15.75" customHeight="1">
      <c r="A46" s="147"/>
      <c r="B46" s="297"/>
      <c r="C46" s="297"/>
      <c r="D46" s="297"/>
      <c r="E46" s="143" t="s">
        <v>152</v>
      </c>
      <c r="F46" s="264" t="s">
        <v>153</v>
      </c>
      <c r="G46" s="299">
        <v>5007</v>
      </c>
      <c r="H46" s="300">
        <f t="shared" si="13"/>
        <v>9.4067032388968214E-2</v>
      </c>
      <c r="I46" s="97">
        <v>10000</v>
      </c>
      <c r="J46" s="115">
        <f t="shared" si="14"/>
        <v>0.12515644555694619</v>
      </c>
      <c r="K46" s="97">
        <f t="shared" si="15"/>
        <v>4993</v>
      </c>
      <c r="L46" s="115">
        <f t="shared" si="16"/>
        <v>0.50070000000000003</v>
      </c>
      <c r="M46" s="310" t="s">
        <v>185</v>
      </c>
      <c r="N46" s="170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 ht="15.75" customHeight="1">
      <c r="A47" s="147"/>
      <c r="B47" s="297"/>
      <c r="C47" s="297"/>
      <c r="D47" s="297"/>
      <c r="E47" s="143" t="s">
        <v>186</v>
      </c>
      <c r="F47" s="264" t="s">
        <v>187</v>
      </c>
      <c r="G47" s="110">
        <v>5000</v>
      </c>
      <c r="H47" s="300">
        <f t="shared" si="13"/>
        <v>9.3935522657248069E-2</v>
      </c>
      <c r="I47" s="97">
        <v>5000</v>
      </c>
      <c r="J47" s="115">
        <f t="shared" si="14"/>
        <v>6.2578222778473094E-2</v>
      </c>
      <c r="K47" s="97">
        <f t="shared" si="15"/>
        <v>0</v>
      </c>
      <c r="L47" s="115">
        <f t="shared" si="16"/>
        <v>1</v>
      </c>
      <c r="M47" s="310" t="s">
        <v>188</v>
      </c>
      <c r="N47" s="170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 ht="15.75" customHeight="1">
      <c r="A48" s="147"/>
      <c r="B48" s="315"/>
      <c r="C48" s="316" t="s">
        <v>50</v>
      </c>
      <c r="D48" s="316" t="s">
        <v>50</v>
      </c>
      <c r="E48" s="317"/>
      <c r="F48" s="294" t="s">
        <v>51</v>
      </c>
      <c r="G48" s="333">
        <v>3715</v>
      </c>
      <c r="H48" s="292">
        <f>G48/G33</f>
        <v>6.5240679275766988E-2</v>
      </c>
      <c r="I48" s="332">
        <f>(I34)/0.95*0.05</f>
        <v>4205.2631578947376</v>
      </c>
      <c r="J48" s="293">
        <f>I48/$I$33</f>
        <v>5.000000000000001E-2</v>
      </c>
      <c r="K48" s="313">
        <f t="shared" si="15"/>
        <v>490.26315789473756</v>
      </c>
      <c r="L48" s="319">
        <f t="shared" si="16"/>
        <v>0.88341677096370452</v>
      </c>
      <c r="M48" s="334" t="s">
        <v>164</v>
      </c>
      <c r="N48" s="321"/>
      <c r="O48" s="322"/>
      <c r="P48" s="322"/>
      <c r="Q48" s="322"/>
      <c r="R48" s="322"/>
      <c r="S48" s="322"/>
      <c r="T48" s="322"/>
      <c r="U48" s="322"/>
      <c r="V48" s="322"/>
      <c r="W48" s="322"/>
      <c r="X48" s="322"/>
      <c r="Y48" s="322"/>
      <c r="Z48" s="322"/>
      <c r="AA48" s="322"/>
      <c r="AB48" s="322"/>
      <c r="AC48" s="322"/>
      <c r="AD48" s="322"/>
      <c r="AE48" s="322"/>
    </row>
    <row r="49" spans="1:31" ht="15.75" customHeight="1">
      <c r="A49" s="147"/>
      <c r="B49" s="146"/>
      <c r="C49" s="146"/>
      <c r="D49" s="146"/>
      <c r="E49" s="143"/>
      <c r="F49" s="264"/>
      <c r="G49" s="264"/>
      <c r="H49" s="115"/>
      <c r="I49" s="335"/>
      <c r="J49" s="115"/>
      <c r="K49" s="97"/>
      <c r="L49" s="115"/>
      <c r="M49" s="264"/>
      <c r="N49" s="170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spans="1:31" ht="15.75" customHeight="1">
      <c r="A50" s="147"/>
      <c r="B50" s="146"/>
      <c r="C50" s="146"/>
      <c r="D50" s="146"/>
      <c r="E50" s="336"/>
      <c r="F50" s="337"/>
      <c r="G50" s="337"/>
      <c r="H50" s="338"/>
      <c r="I50" s="339"/>
      <c r="J50" s="340"/>
      <c r="K50" s="341"/>
      <c r="L50" s="340"/>
      <c r="M50" s="342"/>
      <c r="N50" s="170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spans="1:31" ht="15.75" customHeight="1">
      <c r="A51" s="147"/>
      <c r="B51" s="146"/>
      <c r="C51" s="146"/>
      <c r="D51" s="146"/>
      <c r="E51" s="336"/>
      <c r="F51" s="343"/>
      <c r="G51" s="343"/>
      <c r="H51" s="344"/>
      <c r="I51" s="345"/>
      <c r="J51" s="340"/>
      <c r="K51" s="341"/>
      <c r="L51" s="340"/>
      <c r="M51" s="342"/>
      <c r="N51" s="170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1:31" ht="15.75" customHeight="1">
      <c r="A52" s="277"/>
      <c r="B52" s="278" t="s">
        <v>52</v>
      </c>
      <c r="C52" s="278" t="s">
        <v>46</v>
      </c>
      <c r="D52" s="278" t="s">
        <v>46</v>
      </c>
      <c r="E52" s="279"/>
      <c r="F52" s="280" t="s">
        <v>18</v>
      </c>
      <c r="G52" s="281">
        <f>SUM(G53,G62)</f>
        <v>28050</v>
      </c>
      <c r="H52" s="282">
        <f>G52/$G$9</f>
        <v>2.7856951327301798E-2</v>
      </c>
      <c r="I52" s="330">
        <f>I53+I62</f>
        <v>30368</v>
      </c>
      <c r="J52" s="282">
        <f>I52/$I$9</f>
        <v>1.9721625903460379E-2</v>
      </c>
      <c r="K52" s="331">
        <f>K53+K62</f>
        <v>2318</v>
      </c>
      <c r="L52" s="282">
        <f t="shared" ref="L52:L54" si="17">G52/I52</f>
        <v>0.92366965226554265</v>
      </c>
      <c r="M52" s="280"/>
      <c r="N52" s="284"/>
      <c r="O52" s="285"/>
      <c r="P52" s="285"/>
      <c r="Q52" s="285"/>
      <c r="R52" s="285"/>
      <c r="S52" s="285"/>
      <c r="T52" s="285"/>
      <c r="U52" s="285"/>
      <c r="V52" s="285"/>
      <c r="W52" s="285"/>
      <c r="X52" s="285"/>
      <c r="Y52" s="285"/>
      <c r="Z52" s="285"/>
      <c r="AA52" s="285"/>
      <c r="AB52" s="285"/>
      <c r="AC52" s="285"/>
      <c r="AD52" s="285"/>
      <c r="AE52" s="285"/>
    </row>
    <row r="53" spans="1:31" ht="15.75" customHeight="1">
      <c r="A53" s="147"/>
      <c r="B53" s="315"/>
      <c r="C53" s="316" t="s">
        <v>46</v>
      </c>
      <c r="D53" s="316" t="s">
        <v>45</v>
      </c>
      <c r="E53" s="317"/>
      <c r="F53" s="294" t="s">
        <v>47</v>
      </c>
      <c r="G53" s="333">
        <f>SUM(G54:G61)</f>
        <v>28050</v>
      </c>
      <c r="H53" s="293">
        <f>G53/G52</f>
        <v>1</v>
      </c>
      <c r="I53" s="332">
        <f>SUM(I54:I61)</f>
        <v>28850</v>
      </c>
      <c r="J53" s="293">
        <f>I53/$I$52</f>
        <v>0.95001317175974709</v>
      </c>
      <c r="K53" s="313">
        <f>SUM(K54:K61)</f>
        <v>800</v>
      </c>
      <c r="L53" s="293">
        <f t="shared" si="17"/>
        <v>0.97227036395147315</v>
      </c>
      <c r="M53" s="294"/>
      <c r="N53" s="346"/>
      <c r="O53" s="347"/>
      <c r="P53" s="347"/>
      <c r="Q53" s="347"/>
      <c r="R53" s="347"/>
      <c r="S53" s="347"/>
      <c r="T53" s="347"/>
      <c r="U53" s="347"/>
      <c r="V53" s="347"/>
      <c r="W53" s="347"/>
      <c r="X53" s="347"/>
      <c r="Y53" s="347"/>
      <c r="Z53" s="347"/>
      <c r="AA53" s="347"/>
      <c r="AB53" s="347"/>
      <c r="AC53" s="347"/>
      <c r="AD53" s="347"/>
      <c r="AE53" s="347"/>
    </row>
    <row r="54" spans="1:31" ht="15.75" customHeight="1">
      <c r="A54" s="147"/>
      <c r="B54" s="297"/>
      <c r="C54" s="297"/>
      <c r="D54" s="297"/>
      <c r="E54" s="143" t="s">
        <v>128</v>
      </c>
      <c r="F54" s="264" t="s">
        <v>129</v>
      </c>
      <c r="G54" s="110">
        <v>18400</v>
      </c>
      <c r="H54" s="115">
        <f>G54/$G$53</f>
        <v>0.6559714795008913</v>
      </c>
      <c r="I54" s="348">
        <v>18400</v>
      </c>
      <c r="J54" s="302">
        <f>I54/$I$53</f>
        <v>0.6377816291161178</v>
      </c>
      <c r="K54" s="301">
        <f>I54-G54</f>
        <v>0</v>
      </c>
      <c r="L54" s="302">
        <f t="shared" si="17"/>
        <v>1</v>
      </c>
      <c r="M54" s="303" t="s">
        <v>189</v>
      </c>
      <c r="N54" s="307"/>
      <c r="O54" s="3"/>
      <c r="P54" s="304"/>
      <c r="Q54" s="304"/>
      <c r="R54" s="304"/>
      <c r="S54" s="304"/>
      <c r="T54" s="304"/>
      <c r="U54" s="304"/>
      <c r="V54" s="304"/>
      <c r="W54" s="304"/>
      <c r="X54" s="304"/>
      <c r="Y54" s="304"/>
      <c r="Z54" s="304"/>
      <c r="AA54" s="304"/>
      <c r="AB54" s="304"/>
      <c r="AC54" s="304"/>
      <c r="AD54" s="304"/>
      <c r="AE54" s="304"/>
    </row>
    <row r="55" spans="1:31" ht="15.75" customHeight="1">
      <c r="A55" s="147"/>
      <c r="B55" s="297"/>
      <c r="C55" s="297"/>
      <c r="D55" s="297"/>
      <c r="E55" s="231"/>
      <c r="F55" s="349"/>
      <c r="G55" s="264"/>
      <c r="H55" s="115"/>
      <c r="I55" s="350"/>
      <c r="J55" s="302"/>
      <c r="K55" s="301"/>
      <c r="L55" s="302"/>
      <c r="M55" s="303" t="s">
        <v>190</v>
      </c>
      <c r="N55" s="307"/>
      <c r="O55" s="3"/>
      <c r="P55" s="304"/>
      <c r="Q55" s="304"/>
      <c r="R55" s="304"/>
      <c r="S55" s="304"/>
      <c r="T55" s="304"/>
      <c r="U55" s="304"/>
      <c r="V55" s="304"/>
      <c r="W55" s="304"/>
      <c r="X55" s="304"/>
      <c r="Y55" s="304"/>
      <c r="Z55" s="304"/>
      <c r="AA55" s="304"/>
      <c r="AB55" s="304"/>
      <c r="AC55" s="304"/>
      <c r="AD55" s="304"/>
      <c r="AE55" s="304"/>
    </row>
    <row r="56" spans="1:31" ht="15.75" customHeight="1">
      <c r="A56" s="147"/>
      <c r="B56" s="297"/>
      <c r="C56" s="297"/>
      <c r="D56" s="297"/>
      <c r="E56" s="231"/>
      <c r="F56" s="349"/>
      <c r="G56" s="264"/>
      <c r="H56" s="115"/>
      <c r="I56" s="350"/>
      <c r="J56" s="302"/>
      <c r="K56" s="301"/>
      <c r="L56" s="302"/>
      <c r="M56" s="303" t="s">
        <v>191</v>
      </c>
      <c r="N56" s="307"/>
      <c r="O56" s="3"/>
      <c r="P56" s="304"/>
      <c r="Q56" s="304"/>
      <c r="R56" s="304"/>
      <c r="S56" s="304"/>
      <c r="T56" s="304"/>
      <c r="U56" s="304"/>
      <c r="V56" s="304"/>
      <c r="W56" s="304"/>
      <c r="X56" s="304"/>
      <c r="Y56" s="304"/>
      <c r="Z56" s="304"/>
      <c r="AA56" s="304"/>
      <c r="AB56" s="304"/>
      <c r="AC56" s="304"/>
      <c r="AD56" s="304"/>
      <c r="AE56" s="304"/>
    </row>
    <row r="57" spans="1:31" ht="15.75" customHeight="1">
      <c r="A57" s="147"/>
      <c r="B57" s="297"/>
      <c r="C57" s="297"/>
      <c r="D57" s="297"/>
      <c r="E57" s="143" t="s">
        <v>134</v>
      </c>
      <c r="F57" s="264" t="s">
        <v>135</v>
      </c>
      <c r="G57" s="299">
        <v>9000</v>
      </c>
      <c r="H57" s="115">
        <f>G57/$G$53</f>
        <v>0.32085561497326204</v>
      </c>
      <c r="I57" s="348">
        <v>9000</v>
      </c>
      <c r="J57" s="302">
        <f>I57/$I$53</f>
        <v>0.31195840554592719</v>
      </c>
      <c r="K57" s="301">
        <f>I57-G57</f>
        <v>0</v>
      </c>
      <c r="L57" s="302">
        <f>G57/I57</f>
        <v>1</v>
      </c>
      <c r="M57" s="303" t="s">
        <v>169</v>
      </c>
      <c r="N57" s="307"/>
      <c r="O57" s="3"/>
      <c r="P57" s="304"/>
      <c r="Q57" s="304"/>
      <c r="R57" s="304"/>
      <c r="S57" s="304"/>
      <c r="T57" s="304"/>
      <c r="U57" s="304"/>
      <c r="V57" s="304"/>
      <c r="W57" s="304"/>
      <c r="X57" s="304"/>
      <c r="Y57" s="304"/>
      <c r="Z57" s="304"/>
      <c r="AA57" s="304"/>
      <c r="AB57" s="304"/>
      <c r="AC57" s="304"/>
      <c r="AD57" s="304"/>
      <c r="AE57" s="304"/>
    </row>
    <row r="58" spans="1:31" ht="15.75" customHeight="1">
      <c r="A58" s="147"/>
      <c r="B58" s="297"/>
      <c r="C58" s="297"/>
      <c r="D58" s="297"/>
      <c r="E58" s="231"/>
      <c r="F58" s="349"/>
      <c r="G58" s="298"/>
      <c r="H58" s="115"/>
      <c r="I58" s="350"/>
      <c r="J58" s="302"/>
      <c r="K58" s="301"/>
      <c r="L58" s="302"/>
      <c r="M58" s="303" t="s">
        <v>192</v>
      </c>
      <c r="N58" s="170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spans="1:31" ht="15.75" customHeight="1">
      <c r="A59" s="147"/>
      <c r="B59" s="297"/>
      <c r="C59" s="297"/>
      <c r="D59" s="297"/>
      <c r="E59" s="143" t="s">
        <v>160</v>
      </c>
      <c r="F59" s="264" t="s">
        <v>161</v>
      </c>
      <c r="G59" s="299">
        <v>650</v>
      </c>
      <c r="H59" s="115">
        <f t="shared" ref="H59:H61" si="18">G59/$G$53</f>
        <v>2.3172905525846704E-2</v>
      </c>
      <c r="I59" s="348">
        <v>650</v>
      </c>
      <c r="J59" s="302">
        <f t="shared" ref="J59:J61" si="19">I59/$I$53</f>
        <v>2.2530329289428077E-2</v>
      </c>
      <c r="K59" s="301">
        <f t="shared" ref="K59:K62" si="20">I59-G59</f>
        <v>0</v>
      </c>
      <c r="L59" s="302">
        <f t="shared" ref="L59:L62" si="21">G59/I59</f>
        <v>1</v>
      </c>
      <c r="M59" s="303" t="s">
        <v>193</v>
      </c>
      <c r="N59" s="170" t="s">
        <v>194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1:31" ht="15.75" customHeight="1">
      <c r="A60" s="147"/>
      <c r="B60" s="297"/>
      <c r="C60" s="297"/>
      <c r="D60" s="297"/>
      <c r="E60" s="143" t="s">
        <v>177</v>
      </c>
      <c r="F60" s="264" t="s">
        <v>178</v>
      </c>
      <c r="G60" s="298">
        <v>0</v>
      </c>
      <c r="H60" s="115">
        <f t="shared" si="18"/>
        <v>0</v>
      </c>
      <c r="I60" s="335">
        <v>300</v>
      </c>
      <c r="J60" s="302">
        <f t="shared" si="19"/>
        <v>1.0398613518197574E-2</v>
      </c>
      <c r="K60" s="97">
        <f t="shared" si="20"/>
        <v>300</v>
      </c>
      <c r="L60" s="115">
        <f t="shared" si="21"/>
        <v>0</v>
      </c>
      <c r="M60" s="303" t="s">
        <v>195</v>
      </c>
      <c r="N60" s="170"/>
      <c r="O60" s="3" t="s">
        <v>183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1:31" ht="15.75" customHeight="1">
      <c r="A61" s="147"/>
      <c r="B61" s="297"/>
      <c r="C61" s="297"/>
      <c r="D61" s="297"/>
      <c r="E61" s="143" t="s">
        <v>149</v>
      </c>
      <c r="F61" s="264" t="s">
        <v>150</v>
      </c>
      <c r="G61" s="264">
        <v>0</v>
      </c>
      <c r="H61" s="115">
        <f t="shared" si="18"/>
        <v>0</v>
      </c>
      <c r="I61" s="335">
        <v>500</v>
      </c>
      <c r="J61" s="302">
        <f t="shared" si="19"/>
        <v>1.7331022530329289E-2</v>
      </c>
      <c r="K61" s="97">
        <f t="shared" si="20"/>
        <v>500</v>
      </c>
      <c r="L61" s="115">
        <f t="shared" si="21"/>
        <v>0</v>
      </c>
      <c r="M61" s="148" t="s">
        <v>151</v>
      </c>
      <c r="N61" s="307"/>
      <c r="O61" s="3" t="s">
        <v>183</v>
      </c>
      <c r="P61" s="304"/>
      <c r="Q61" s="304"/>
      <c r="R61" s="304"/>
      <c r="S61" s="304"/>
      <c r="T61" s="304"/>
      <c r="U61" s="304"/>
      <c r="V61" s="304"/>
      <c r="W61" s="304"/>
      <c r="X61" s="304"/>
      <c r="Y61" s="304"/>
      <c r="Z61" s="304"/>
      <c r="AA61" s="304"/>
      <c r="AB61" s="304"/>
      <c r="AC61" s="304"/>
      <c r="AD61" s="304"/>
      <c r="AE61" s="304"/>
    </row>
    <row r="62" spans="1:31" ht="15.75" customHeight="1">
      <c r="A62" s="351"/>
      <c r="B62" s="352"/>
      <c r="C62" s="353" t="s">
        <v>50</v>
      </c>
      <c r="D62" s="353" t="s">
        <v>50</v>
      </c>
      <c r="E62" s="354"/>
      <c r="F62" s="355" t="s">
        <v>51</v>
      </c>
      <c r="G62" s="355">
        <v>0</v>
      </c>
      <c r="H62" s="356">
        <f>G62/G52</f>
        <v>0</v>
      </c>
      <c r="I62" s="357">
        <f>ROUND(I53/95*5,0)</f>
        <v>1518</v>
      </c>
      <c r="J62" s="356">
        <f>I62/$I$52</f>
        <v>4.9986828240252898E-2</v>
      </c>
      <c r="K62" s="358">
        <f t="shared" si="20"/>
        <v>1518</v>
      </c>
      <c r="L62" s="359">
        <f t="shared" si="21"/>
        <v>0</v>
      </c>
      <c r="M62" s="355" t="s">
        <v>164</v>
      </c>
      <c r="N62" s="360"/>
      <c r="O62" s="361"/>
      <c r="P62" s="361"/>
      <c r="Q62" s="361"/>
      <c r="R62" s="361"/>
      <c r="S62" s="361"/>
      <c r="T62" s="361"/>
      <c r="U62" s="361"/>
      <c r="V62" s="361"/>
      <c r="W62" s="361"/>
      <c r="X62" s="361"/>
      <c r="Y62" s="361"/>
      <c r="Z62" s="361"/>
      <c r="AA62" s="361"/>
      <c r="AB62" s="361"/>
      <c r="AC62" s="361"/>
      <c r="AD62" s="361"/>
      <c r="AE62" s="361"/>
    </row>
    <row r="63" spans="1:31" ht="15.75" customHeight="1">
      <c r="A63" s="147"/>
      <c r="B63" s="146"/>
      <c r="C63" s="146"/>
      <c r="D63" s="146"/>
      <c r="E63" s="143"/>
      <c r="F63" s="264"/>
      <c r="G63" s="264"/>
      <c r="H63" s="115"/>
      <c r="I63" s="335"/>
      <c r="J63" s="276"/>
      <c r="K63" s="110"/>
      <c r="L63" s="276"/>
      <c r="M63" s="264"/>
      <c r="N63" s="170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spans="1:31" ht="15.75" customHeight="1">
      <c r="A64" s="147"/>
      <c r="B64" s="146"/>
      <c r="C64" s="146"/>
      <c r="D64" s="146"/>
      <c r="E64" s="143"/>
      <c r="F64" s="264"/>
      <c r="G64" s="264"/>
      <c r="H64" s="115"/>
      <c r="I64" s="335"/>
      <c r="J64" s="276"/>
      <c r="K64" s="110"/>
      <c r="L64" s="276"/>
      <c r="M64" s="264"/>
      <c r="N64" s="170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spans="1:31" ht="15.75" customHeight="1">
      <c r="A65" s="147"/>
      <c r="B65" s="146"/>
      <c r="C65" s="146"/>
      <c r="D65" s="146"/>
      <c r="E65" s="143"/>
      <c r="F65" s="264"/>
      <c r="G65" s="264"/>
      <c r="H65" s="115"/>
      <c r="I65" s="335"/>
      <c r="J65" s="276"/>
      <c r="K65" s="110"/>
      <c r="L65" s="276"/>
      <c r="M65" s="264"/>
      <c r="N65" s="170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spans="1:31" ht="15.75" customHeight="1">
      <c r="A66" s="277"/>
      <c r="B66" s="278" t="s">
        <v>53</v>
      </c>
      <c r="C66" s="278" t="s">
        <v>46</v>
      </c>
      <c r="D66" s="278" t="s">
        <v>46</v>
      </c>
      <c r="E66" s="279"/>
      <c r="F66" s="280" t="s">
        <v>19</v>
      </c>
      <c r="G66" s="281">
        <f>SUM(G68,G72,G76)</f>
        <v>142954</v>
      </c>
      <c r="H66" s="282">
        <f>G66/$G$9</f>
        <v>0.14197014688210699</v>
      </c>
      <c r="I66" s="330">
        <f>SUM(I68,I72,I76)</f>
        <v>273054</v>
      </c>
      <c r="J66" s="362">
        <f>I66/$I$9</f>
        <v>0.17732708243688983</v>
      </c>
      <c r="K66" s="331">
        <f>SUM(K68,K72,K76)</f>
        <v>130100</v>
      </c>
      <c r="L66" s="282">
        <f>G66/I66</f>
        <v>0.52353746877906937</v>
      </c>
      <c r="M66" s="280"/>
      <c r="N66" s="284"/>
      <c r="O66" s="285"/>
      <c r="P66" s="285"/>
      <c r="Q66" s="285"/>
      <c r="R66" s="285"/>
      <c r="S66" s="285"/>
      <c r="T66" s="285"/>
      <c r="U66" s="285"/>
      <c r="V66" s="285"/>
      <c r="W66" s="285"/>
      <c r="X66" s="285"/>
      <c r="Y66" s="285"/>
      <c r="Z66" s="285"/>
      <c r="AA66" s="285"/>
      <c r="AB66" s="285"/>
      <c r="AC66" s="285"/>
      <c r="AD66" s="285"/>
      <c r="AE66" s="285"/>
    </row>
    <row r="67" spans="1:31" ht="15.75" customHeight="1">
      <c r="A67" s="147"/>
      <c r="B67" s="146"/>
      <c r="C67" s="146"/>
      <c r="D67" s="146"/>
      <c r="E67" s="143"/>
      <c r="F67" s="264"/>
      <c r="G67" s="264"/>
      <c r="H67" s="115"/>
      <c r="I67" s="335"/>
      <c r="J67" s="276"/>
      <c r="K67" s="110"/>
      <c r="L67" s="276"/>
      <c r="M67" s="264"/>
      <c r="N67" s="170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1:31" ht="15.75" customHeight="1">
      <c r="A68" s="351"/>
      <c r="B68" s="352"/>
      <c r="C68" s="353" t="s">
        <v>46</v>
      </c>
      <c r="D68" s="353" t="s">
        <v>45</v>
      </c>
      <c r="E68" s="354"/>
      <c r="F68" s="355" t="s">
        <v>47</v>
      </c>
      <c r="G68" s="363">
        <f>SUM(G69:G71)</f>
        <v>22700</v>
      </c>
      <c r="H68" s="364">
        <f>G68/$G$66</f>
        <v>0.15879233879429747</v>
      </c>
      <c r="I68" s="332">
        <f>SUM(I69:I71)</f>
        <v>22700</v>
      </c>
      <c r="J68" s="359">
        <f>I68/I66</f>
        <v>8.3133739113874908E-2</v>
      </c>
      <c r="K68" s="365">
        <f>SUM(K69:K71)</f>
        <v>0</v>
      </c>
      <c r="L68" s="293">
        <f t="shared" ref="L68:L74" si="22">G68/I68</f>
        <v>1</v>
      </c>
      <c r="M68" s="366"/>
      <c r="N68" s="367"/>
      <c r="O68" s="368"/>
      <c r="P68" s="368"/>
      <c r="Q68" s="368"/>
      <c r="R68" s="368"/>
      <c r="S68" s="368"/>
      <c r="T68" s="368"/>
      <c r="U68" s="368"/>
      <c r="V68" s="368"/>
      <c r="W68" s="368"/>
      <c r="X68" s="368"/>
      <c r="Y68" s="368"/>
      <c r="Z68" s="368"/>
      <c r="AA68" s="368"/>
      <c r="AB68" s="368"/>
      <c r="AC68" s="368"/>
      <c r="AD68" s="368"/>
      <c r="AE68" s="368"/>
    </row>
    <row r="69" spans="1:31" ht="15.75" customHeight="1">
      <c r="A69" s="147"/>
      <c r="B69" s="297"/>
      <c r="C69" s="297"/>
      <c r="D69" s="297"/>
      <c r="E69" s="143" t="s">
        <v>128</v>
      </c>
      <c r="F69" s="264" t="s">
        <v>129</v>
      </c>
      <c r="G69" s="299">
        <v>19200</v>
      </c>
      <c r="H69" s="300">
        <f t="shared" ref="H69:H71" si="23">G69/$G$68</f>
        <v>0.8458149779735683</v>
      </c>
      <c r="I69" s="335">
        <v>19200</v>
      </c>
      <c r="J69" s="369">
        <f t="shared" ref="J69:J71" si="24">I69/$I$68</f>
        <v>0.8458149779735683</v>
      </c>
      <c r="K69" s="301">
        <f t="shared" ref="K69:K71" si="25">I69-G69</f>
        <v>0</v>
      </c>
      <c r="L69" s="302">
        <f t="shared" si="22"/>
        <v>1</v>
      </c>
      <c r="M69" s="370" t="s">
        <v>196</v>
      </c>
      <c r="N69" s="371"/>
      <c r="O69" s="372"/>
      <c r="P69" s="372"/>
      <c r="Q69" s="372"/>
      <c r="R69" s="372"/>
      <c r="S69" s="372"/>
      <c r="T69" s="372"/>
      <c r="U69" s="372"/>
      <c r="V69" s="372"/>
      <c r="W69" s="372"/>
      <c r="X69" s="372"/>
      <c r="Y69" s="372"/>
      <c r="Z69" s="372"/>
      <c r="AA69" s="372"/>
      <c r="AB69" s="372"/>
      <c r="AC69" s="372"/>
      <c r="AD69" s="372"/>
      <c r="AE69" s="372"/>
    </row>
    <row r="70" spans="1:31" ht="15.75" customHeight="1">
      <c r="A70" s="147"/>
      <c r="B70" s="297"/>
      <c r="C70" s="297"/>
      <c r="D70" s="297"/>
      <c r="E70" s="143" t="s">
        <v>134</v>
      </c>
      <c r="F70" s="298" t="s">
        <v>135</v>
      </c>
      <c r="G70" s="299">
        <v>3000</v>
      </c>
      <c r="H70" s="300">
        <f t="shared" si="23"/>
        <v>0.13215859030837004</v>
      </c>
      <c r="I70" s="335">
        <v>3000</v>
      </c>
      <c r="J70" s="369">
        <f t="shared" si="24"/>
        <v>0.13215859030837004</v>
      </c>
      <c r="K70" s="301">
        <f t="shared" si="25"/>
        <v>0</v>
      </c>
      <c r="L70" s="302">
        <f t="shared" si="22"/>
        <v>1</v>
      </c>
      <c r="M70" s="370" t="s">
        <v>169</v>
      </c>
      <c r="N70" s="371"/>
      <c r="O70" s="372"/>
      <c r="P70" s="372"/>
      <c r="Q70" s="372"/>
      <c r="R70" s="372"/>
      <c r="S70" s="372"/>
      <c r="T70" s="372"/>
      <c r="U70" s="372"/>
      <c r="V70" s="372"/>
      <c r="W70" s="372"/>
      <c r="X70" s="372"/>
      <c r="Y70" s="372"/>
      <c r="Z70" s="372"/>
      <c r="AA70" s="372"/>
      <c r="AB70" s="372"/>
      <c r="AC70" s="372"/>
      <c r="AD70" s="372"/>
      <c r="AE70" s="372"/>
    </row>
    <row r="71" spans="1:31" ht="15.75" customHeight="1">
      <c r="A71" s="147"/>
      <c r="B71" s="297"/>
      <c r="C71" s="297"/>
      <c r="D71" s="297"/>
      <c r="E71" s="143" t="s">
        <v>149</v>
      </c>
      <c r="F71" s="264" t="s">
        <v>150</v>
      </c>
      <c r="G71" s="298">
        <v>500</v>
      </c>
      <c r="H71" s="300">
        <f t="shared" si="23"/>
        <v>2.2026431718061675E-2</v>
      </c>
      <c r="I71" s="335">
        <v>500</v>
      </c>
      <c r="J71" s="369">
        <f t="shared" si="24"/>
        <v>2.2026431718061675E-2</v>
      </c>
      <c r="K71" s="301">
        <f t="shared" si="25"/>
        <v>0</v>
      </c>
      <c r="L71" s="302">
        <f t="shared" si="22"/>
        <v>1</v>
      </c>
      <c r="M71" s="370" t="s">
        <v>151</v>
      </c>
      <c r="N71" s="371"/>
      <c r="O71" s="372"/>
      <c r="P71" s="372"/>
      <c r="Q71" s="372"/>
      <c r="R71" s="372"/>
      <c r="S71" s="372"/>
      <c r="T71" s="372"/>
      <c r="U71" s="372"/>
      <c r="V71" s="372"/>
      <c r="W71" s="372"/>
      <c r="X71" s="372"/>
      <c r="Y71" s="372"/>
      <c r="Z71" s="372"/>
      <c r="AA71" s="372"/>
      <c r="AB71" s="372"/>
      <c r="AC71" s="372"/>
      <c r="AD71" s="372"/>
      <c r="AE71" s="372"/>
    </row>
    <row r="72" spans="1:31" ht="15.75" customHeight="1">
      <c r="A72" s="351"/>
      <c r="B72" s="352"/>
      <c r="C72" s="353" t="s">
        <v>46</v>
      </c>
      <c r="D72" s="353" t="s">
        <v>48</v>
      </c>
      <c r="E72" s="354"/>
      <c r="F72" s="355" t="s">
        <v>54</v>
      </c>
      <c r="G72" s="363">
        <f>SUM(G73:G74)</f>
        <v>109104</v>
      </c>
      <c r="H72" s="364">
        <f>G72/$G$66</f>
        <v>0.76321054325167537</v>
      </c>
      <c r="I72" s="332">
        <f>SUM(I73:I74)</f>
        <v>236701</v>
      </c>
      <c r="J72" s="373">
        <f>I72/I66</f>
        <v>0.86686516220234822</v>
      </c>
      <c r="K72" s="374">
        <f>SUM(K73:K74)</f>
        <v>127597</v>
      </c>
      <c r="L72" s="293">
        <f t="shared" si="22"/>
        <v>0.46093594872856475</v>
      </c>
      <c r="M72" s="366"/>
      <c r="N72" s="375"/>
      <c r="O72" s="376" t="s">
        <v>197</v>
      </c>
      <c r="P72" s="368"/>
      <c r="Q72" s="368"/>
      <c r="R72" s="368"/>
      <c r="S72" s="368"/>
      <c r="T72" s="368"/>
      <c r="U72" s="368"/>
      <c r="V72" s="368"/>
      <c r="W72" s="368"/>
      <c r="X72" s="368"/>
      <c r="Y72" s="368"/>
      <c r="Z72" s="368"/>
      <c r="AA72" s="368"/>
      <c r="AB72" s="368"/>
      <c r="AC72" s="368"/>
      <c r="AD72" s="368"/>
      <c r="AE72" s="368"/>
    </row>
    <row r="73" spans="1:31" ht="15.75" customHeight="1">
      <c r="A73" s="147"/>
      <c r="B73" s="297"/>
      <c r="C73" s="297"/>
      <c r="D73" s="297"/>
      <c r="E73" s="143" t="s">
        <v>198</v>
      </c>
      <c r="F73" s="264" t="s">
        <v>199</v>
      </c>
      <c r="G73" s="299">
        <v>88255</v>
      </c>
      <c r="H73" s="300">
        <f t="shared" ref="H73:H74" si="26">G73/$G$72</f>
        <v>0.80890709781492887</v>
      </c>
      <c r="I73" s="335">
        <v>213000</v>
      </c>
      <c r="J73" s="369">
        <f t="shared" ref="J73:J74" si="27">I73/$I$72</f>
        <v>0.89986945555785569</v>
      </c>
      <c r="K73" s="301">
        <f t="shared" ref="K73:K74" si="28">I73-G73</f>
        <v>124745</v>
      </c>
      <c r="L73" s="302">
        <f t="shared" si="22"/>
        <v>0.41434272300469482</v>
      </c>
      <c r="M73" s="310" t="s">
        <v>200</v>
      </c>
      <c r="N73" s="371"/>
      <c r="O73" s="372"/>
      <c r="P73" s="372"/>
      <c r="Q73" s="372"/>
      <c r="R73" s="372"/>
      <c r="S73" s="372"/>
      <c r="T73" s="372"/>
      <c r="U73" s="372"/>
      <c r="V73" s="372"/>
      <c r="W73" s="372"/>
      <c r="X73" s="372"/>
      <c r="Y73" s="372"/>
      <c r="Z73" s="372"/>
      <c r="AA73" s="372"/>
      <c r="AB73" s="372"/>
      <c r="AC73" s="372"/>
      <c r="AD73" s="372"/>
      <c r="AE73" s="372"/>
    </row>
    <row r="74" spans="1:31" ht="15.75" customHeight="1">
      <c r="A74" s="147"/>
      <c r="B74" s="297"/>
      <c r="C74" s="297"/>
      <c r="D74" s="297"/>
      <c r="E74" s="143" t="s">
        <v>201</v>
      </c>
      <c r="F74" s="298" t="s">
        <v>202</v>
      </c>
      <c r="G74" s="299">
        <v>20849</v>
      </c>
      <c r="H74" s="300">
        <f t="shared" si="26"/>
        <v>0.19109290218507113</v>
      </c>
      <c r="I74" s="335">
        <v>23701</v>
      </c>
      <c r="J74" s="369">
        <f t="shared" si="27"/>
        <v>0.10013054444214431</v>
      </c>
      <c r="K74" s="301">
        <f t="shared" si="28"/>
        <v>2852</v>
      </c>
      <c r="L74" s="302">
        <f t="shared" si="22"/>
        <v>0.87966752457702202</v>
      </c>
      <c r="M74" s="310" t="s">
        <v>203</v>
      </c>
      <c r="N74" s="371"/>
      <c r="O74" s="372"/>
      <c r="P74" s="372"/>
      <c r="Q74" s="372"/>
      <c r="R74" s="372"/>
      <c r="S74" s="372"/>
      <c r="T74" s="372"/>
      <c r="U74" s="372"/>
      <c r="V74" s="372"/>
      <c r="W74" s="372"/>
      <c r="X74" s="372"/>
      <c r="Y74" s="372"/>
      <c r="Z74" s="372"/>
      <c r="AA74" s="372"/>
      <c r="AB74" s="372"/>
      <c r="AC74" s="372"/>
      <c r="AD74" s="372"/>
      <c r="AE74" s="372"/>
    </row>
    <row r="75" spans="1:31" ht="15.75" customHeight="1">
      <c r="A75" s="147"/>
      <c r="B75" s="297"/>
      <c r="C75" s="297"/>
      <c r="D75" s="297"/>
      <c r="E75" s="231"/>
      <c r="F75" s="306"/>
      <c r="G75" s="298"/>
      <c r="H75" s="300"/>
      <c r="I75" s="335"/>
      <c r="J75" s="369"/>
      <c r="K75" s="377"/>
      <c r="L75" s="369"/>
      <c r="M75" s="370"/>
      <c r="N75" s="371"/>
      <c r="O75" s="372"/>
      <c r="P75" s="372"/>
      <c r="Q75" s="372"/>
      <c r="R75" s="372"/>
      <c r="S75" s="372"/>
      <c r="T75" s="372"/>
      <c r="U75" s="372"/>
      <c r="V75" s="372"/>
      <c r="W75" s="372"/>
      <c r="X75" s="372"/>
      <c r="Y75" s="372"/>
      <c r="Z75" s="372"/>
      <c r="AA75" s="372"/>
      <c r="AB75" s="372"/>
      <c r="AC75" s="372"/>
      <c r="AD75" s="372"/>
      <c r="AE75" s="372"/>
    </row>
    <row r="76" spans="1:31" ht="15.75" customHeight="1">
      <c r="A76" s="351"/>
      <c r="B76" s="352"/>
      <c r="C76" s="353" t="s">
        <v>50</v>
      </c>
      <c r="D76" s="353" t="s">
        <v>50</v>
      </c>
      <c r="E76" s="354"/>
      <c r="F76" s="355" t="s">
        <v>51</v>
      </c>
      <c r="G76" s="378">
        <v>11150</v>
      </c>
      <c r="H76" s="364">
        <f>G76/$G$66</f>
        <v>7.7997117954027168E-2</v>
      </c>
      <c r="I76" s="379">
        <f>ROUND((I68+I72)/95*5,0)</f>
        <v>13653</v>
      </c>
      <c r="J76" s="380">
        <f>I76/I66</f>
        <v>5.0001098683776835E-2</v>
      </c>
      <c r="K76" s="358">
        <f>I76-G76</f>
        <v>2503</v>
      </c>
      <c r="L76" s="293">
        <f>G76/I76</f>
        <v>0.81667032886545077</v>
      </c>
      <c r="M76" s="381" t="s">
        <v>164</v>
      </c>
      <c r="N76" s="382"/>
      <c r="O76" s="361"/>
      <c r="P76" s="361"/>
      <c r="Q76" s="361"/>
      <c r="R76" s="361"/>
      <c r="S76" s="361"/>
      <c r="T76" s="361"/>
      <c r="U76" s="361"/>
      <c r="V76" s="361"/>
      <c r="W76" s="361"/>
      <c r="X76" s="361"/>
      <c r="Y76" s="361"/>
      <c r="Z76" s="361"/>
      <c r="AA76" s="361"/>
      <c r="AB76" s="361"/>
      <c r="AC76" s="361"/>
      <c r="AD76" s="361"/>
      <c r="AE76" s="361"/>
    </row>
    <row r="77" spans="1:31" ht="15.75" customHeight="1">
      <c r="A77" s="147"/>
      <c r="B77" s="297"/>
      <c r="C77" s="297"/>
      <c r="D77" s="297"/>
      <c r="E77" s="231"/>
      <c r="F77" s="306"/>
      <c r="G77" s="298"/>
      <c r="H77" s="300"/>
      <c r="I77" s="335"/>
      <c r="J77" s="369"/>
      <c r="K77" s="377"/>
      <c r="L77" s="369"/>
      <c r="M77" s="370"/>
      <c r="N77" s="371"/>
      <c r="O77" s="372"/>
      <c r="P77" s="372"/>
      <c r="Q77" s="372"/>
      <c r="R77" s="372"/>
      <c r="S77" s="372"/>
      <c r="T77" s="372"/>
      <c r="U77" s="372"/>
      <c r="V77" s="372"/>
      <c r="W77" s="372"/>
      <c r="X77" s="372"/>
      <c r="Y77" s="372"/>
      <c r="Z77" s="372"/>
      <c r="AA77" s="372"/>
      <c r="AB77" s="372"/>
      <c r="AC77" s="372"/>
      <c r="AD77" s="372"/>
      <c r="AE77" s="372"/>
    </row>
    <row r="78" spans="1:31" ht="15.75" customHeight="1">
      <c r="A78" s="147"/>
      <c r="B78" s="297"/>
      <c r="C78" s="297"/>
      <c r="D78" s="297"/>
      <c r="E78" s="231"/>
      <c r="F78" s="306"/>
      <c r="G78" s="298"/>
      <c r="H78" s="300"/>
      <c r="I78" s="335"/>
      <c r="J78" s="369"/>
      <c r="K78" s="377"/>
      <c r="L78" s="369"/>
      <c r="M78" s="370"/>
      <c r="N78" s="371"/>
      <c r="O78" s="372"/>
      <c r="P78" s="372"/>
      <c r="Q78" s="372"/>
      <c r="R78" s="372"/>
      <c r="S78" s="372"/>
      <c r="T78" s="372"/>
      <c r="U78" s="372"/>
      <c r="V78" s="372"/>
      <c r="W78" s="372"/>
      <c r="X78" s="372"/>
      <c r="Y78" s="372"/>
      <c r="Z78" s="372"/>
      <c r="AA78" s="372"/>
      <c r="AB78" s="372"/>
      <c r="AC78" s="372"/>
      <c r="AD78" s="372"/>
      <c r="AE78" s="372"/>
    </row>
    <row r="79" spans="1:31" ht="15.75" customHeight="1">
      <c r="A79" s="147"/>
      <c r="B79" s="297"/>
      <c r="C79" s="297"/>
      <c r="D79" s="297"/>
      <c r="E79" s="231"/>
      <c r="F79" s="306"/>
      <c r="G79" s="298"/>
      <c r="H79" s="300"/>
      <c r="I79" s="335"/>
      <c r="J79" s="369"/>
      <c r="K79" s="377"/>
      <c r="L79" s="369"/>
      <c r="M79" s="370"/>
      <c r="N79" s="371"/>
      <c r="O79" s="372"/>
      <c r="P79" s="372"/>
      <c r="Q79" s="372"/>
      <c r="R79" s="372"/>
      <c r="S79" s="372"/>
      <c r="T79" s="372"/>
      <c r="U79" s="372"/>
      <c r="V79" s="372"/>
      <c r="W79" s="372"/>
      <c r="X79" s="372"/>
      <c r="Y79" s="372"/>
      <c r="Z79" s="372"/>
      <c r="AA79" s="372"/>
      <c r="AB79" s="372"/>
      <c r="AC79" s="372"/>
      <c r="AD79" s="372"/>
      <c r="AE79" s="372"/>
    </row>
    <row r="80" spans="1:31" ht="15.75" customHeight="1">
      <c r="A80" s="277"/>
      <c r="B80" s="278" t="s">
        <v>55</v>
      </c>
      <c r="C80" s="278" t="s">
        <v>46</v>
      </c>
      <c r="D80" s="278" t="s">
        <v>46</v>
      </c>
      <c r="E80" s="279"/>
      <c r="F80" s="280" t="s">
        <v>20</v>
      </c>
      <c r="G80" s="281">
        <f>G82+G85+G120+G139+G151+G175</f>
        <v>116558</v>
      </c>
      <c r="H80" s="282">
        <f>G80/$G$9</f>
        <v>0.11575581222130635</v>
      </c>
      <c r="I80" s="331">
        <f>SUM(I82,I85,I120,I139,I151,I175)</f>
        <v>169579</v>
      </c>
      <c r="J80" s="362">
        <f>I80/$I$9</f>
        <v>0.110128213879179</v>
      </c>
      <c r="K80" s="331">
        <f>I80-G80</f>
        <v>53021</v>
      </c>
      <c r="L80" s="383">
        <f>G80/I80</f>
        <v>0.68733746513424421</v>
      </c>
      <c r="M80" s="280"/>
      <c r="N80" s="284"/>
      <c r="O80" s="285"/>
      <c r="P80" s="285"/>
      <c r="Q80" s="285"/>
      <c r="R80" s="285"/>
      <c r="S80" s="285"/>
      <c r="T80" s="285"/>
      <c r="U80" s="285"/>
      <c r="V80" s="285"/>
      <c r="W80" s="285"/>
      <c r="X80" s="285"/>
      <c r="Y80" s="285"/>
      <c r="Z80" s="285"/>
      <c r="AA80" s="285"/>
      <c r="AB80" s="285"/>
      <c r="AC80" s="285"/>
      <c r="AD80" s="285"/>
      <c r="AE80" s="285"/>
    </row>
    <row r="81" spans="1:31" ht="15.75" customHeight="1">
      <c r="A81" s="147"/>
      <c r="B81" s="146"/>
      <c r="C81" s="146"/>
      <c r="D81" s="146"/>
      <c r="E81" s="143"/>
      <c r="F81" s="264"/>
      <c r="G81" s="264"/>
      <c r="H81" s="115"/>
      <c r="I81" s="335"/>
      <c r="J81" s="120"/>
      <c r="K81" s="384"/>
      <c r="L81" s="120"/>
      <c r="M81" s="264"/>
      <c r="N81" s="170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spans="1:31" ht="15.75" customHeight="1">
      <c r="A82" s="147"/>
      <c r="B82" s="316"/>
      <c r="C82" s="316" t="s">
        <v>46</v>
      </c>
      <c r="D82" s="316" t="s">
        <v>45</v>
      </c>
      <c r="E82" s="385"/>
      <c r="F82" s="294" t="s">
        <v>47</v>
      </c>
      <c r="G82" s="333">
        <f>G83</f>
        <v>6000</v>
      </c>
      <c r="H82" s="293">
        <f>G82/G80</f>
        <v>5.1476518128313803E-2</v>
      </c>
      <c r="I82" s="386">
        <f>I83</f>
        <v>6000</v>
      </c>
      <c r="J82" s="293">
        <f>I82/$I$80</f>
        <v>3.5381739484252175E-2</v>
      </c>
      <c r="K82" s="313">
        <f>SUM(K83)</f>
        <v>0</v>
      </c>
      <c r="L82" s="293">
        <f t="shared" ref="L82:L83" si="29">G82/I82</f>
        <v>1</v>
      </c>
      <c r="M82" s="294"/>
      <c r="N82" s="321"/>
      <c r="O82" s="322"/>
      <c r="P82" s="322"/>
      <c r="Q82" s="322"/>
      <c r="R82" s="322"/>
      <c r="S82" s="322"/>
      <c r="T82" s="322"/>
      <c r="U82" s="322"/>
      <c r="V82" s="322"/>
      <c r="W82" s="322"/>
      <c r="X82" s="322"/>
      <c r="Y82" s="322"/>
      <c r="Z82" s="322"/>
      <c r="AA82" s="322"/>
      <c r="AB82" s="322"/>
      <c r="AC82" s="322"/>
      <c r="AD82" s="322"/>
      <c r="AE82" s="322"/>
    </row>
    <row r="83" spans="1:31" ht="15.75" customHeight="1">
      <c r="A83" s="387"/>
      <c r="B83" s="388"/>
      <c r="C83" s="388"/>
      <c r="D83" s="388"/>
      <c r="E83" s="389" t="s">
        <v>134</v>
      </c>
      <c r="F83" s="390" t="s">
        <v>135</v>
      </c>
      <c r="G83" s="391">
        <v>6000</v>
      </c>
      <c r="H83" s="392">
        <f>G83/G82</f>
        <v>1</v>
      </c>
      <c r="I83" s="393">
        <v>6000</v>
      </c>
      <c r="J83" s="392">
        <f>I83/$I$82</f>
        <v>1</v>
      </c>
      <c r="K83" s="97">
        <f>I83-G83</f>
        <v>0</v>
      </c>
      <c r="L83" s="115">
        <f t="shared" si="29"/>
        <v>1</v>
      </c>
      <c r="M83" s="310" t="s">
        <v>204</v>
      </c>
      <c r="N83" s="170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spans="1:31" ht="15.75" customHeight="1">
      <c r="A84" s="147"/>
      <c r="B84" s="146"/>
      <c r="C84" s="146"/>
      <c r="D84" s="146"/>
      <c r="E84" s="143"/>
      <c r="F84" s="298"/>
      <c r="G84" s="298"/>
      <c r="H84" s="300"/>
      <c r="I84" s="335"/>
      <c r="J84" s="115"/>
      <c r="K84" s="97"/>
      <c r="L84" s="115"/>
      <c r="M84" s="303" t="s">
        <v>205</v>
      </c>
      <c r="N84" s="170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spans="1:31" ht="15.75" customHeight="1">
      <c r="A85" s="147"/>
      <c r="B85" s="316"/>
      <c r="C85" s="316" t="s">
        <v>45</v>
      </c>
      <c r="D85" s="316" t="s">
        <v>46</v>
      </c>
      <c r="E85" s="385"/>
      <c r="F85" s="294" t="s">
        <v>56</v>
      </c>
      <c r="G85" s="332">
        <f>SUM(G86,G89,G93,G97,G108,G112)</f>
        <v>33400</v>
      </c>
      <c r="H85" s="293">
        <f>G85/G80</f>
        <v>0.2865526175809468</v>
      </c>
      <c r="I85" s="332">
        <f>SUM(I86,I89,I93,I97,I108,I112)</f>
        <v>55220</v>
      </c>
      <c r="J85" s="293">
        <f>I85/$I$80</f>
        <v>0.32562994238673421</v>
      </c>
      <c r="K85" s="333">
        <f>K86+K89+K93</f>
        <v>9500</v>
      </c>
      <c r="L85" s="293">
        <f t="shared" ref="L85:L87" si="30">G85/I85</f>
        <v>0.60485331401666065</v>
      </c>
      <c r="M85" s="294"/>
      <c r="N85" s="321"/>
      <c r="O85" s="322"/>
      <c r="P85" s="322"/>
      <c r="Q85" s="322"/>
      <c r="R85" s="322"/>
      <c r="S85" s="322"/>
      <c r="T85" s="322"/>
      <c r="U85" s="322"/>
      <c r="V85" s="322"/>
      <c r="W85" s="322"/>
      <c r="X85" s="322"/>
      <c r="Y85" s="322"/>
      <c r="Z85" s="322"/>
      <c r="AA85" s="322"/>
      <c r="AB85" s="322"/>
      <c r="AC85" s="322"/>
      <c r="AD85" s="322"/>
      <c r="AE85" s="322"/>
    </row>
    <row r="86" spans="1:31" ht="15.75" customHeight="1">
      <c r="A86" s="394"/>
      <c r="B86" s="395"/>
      <c r="C86" s="395"/>
      <c r="D86" s="395" t="s">
        <v>45</v>
      </c>
      <c r="E86" s="396"/>
      <c r="F86" s="397" t="s">
        <v>47</v>
      </c>
      <c r="G86" s="398">
        <f>SUM(G87)</f>
        <v>0</v>
      </c>
      <c r="H86" s="399">
        <f>G86/$G$85</f>
        <v>0</v>
      </c>
      <c r="I86" s="400">
        <f>SUM(I87)</f>
        <v>6000</v>
      </c>
      <c r="J86" s="401">
        <f>I86/$I$85</f>
        <v>0.10865628395508874</v>
      </c>
      <c r="K86" s="402">
        <f>K87</f>
        <v>6000</v>
      </c>
      <c r="L86" s="401">
        <f t="shared" si="30"/>
        <v>0</v>
      </c>
      <c r="M86" s="397"/>
      <c r="N86" s="403"/>
      <c r="O86" s="404"/>
      <c r="P86" s="404"/>
      <c r="Q86" s="404"/>
      <c r="R86" s="404"/>
      <c r="S86" s="404"/>
      <c r="T86" s="404"/>
      <c r="U86" s="404"/>
      <c r="V86" s="404"/>
      <c r="W86" s="404"/>
      <c r="X86" s="404"/>
      <c r="Y86" s="404"/>
      <c r="Z86" s="404"/>
      <c r="AA86" s="404"/>
      <c r="AB86" s="404"/>
      <c r="AC86" s="404"/>
      <c r="AD86" s="404"/>
      <c r="AE86" s="404"/>
    </row>
    <row r="87" spans="1:31" ht="15.75" customHeight="1">
      <c r="A87" s="147"/>
      <c r="B87" s="146"/>
      <c r="C87" s="146"/>
      <c r="D87" s="146"/>
      <c r="E87" s="143" t="s">
        <v>134</v>
      </c>
      <c r="F87" s="3" t="s">
        <v>135</v>
      </c>
      <c r="G87" s="170">
        <v>0</v>
      </c>
      <c r="H87" s="369">
        <v>0</v>
      </c>
      <c r="I87" s="348">
        <v>6000</v>
      </c>
      <c r="J87" s="115">
        <f>I87/$I$86</f>
        <v>1</v>
      </c>
      <c r="K87" s="97">
        <f>I87-G87</f>
        <v>6000</v>
      </c>
      <c r="L87" s="115">
        <f t="shared" si="30"/>
        <v>0</v>
      </c>
      <c r="M87" s="264" t="s">
        <v>169</v>
      </c>
      <c r="N87" s="170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spans="1:31" ht="15.75" customHeight="1">
      <c r="A88" s="147"/>
      <c r="B88" s="146"/>
      <c r="C88" s="146"/>
      <c r="D88" s="146"/>
      <c r="E88" s="143"/>
      <c r="F88" s="3"/>
      <c r="G88" s="170"/>
      <c r="H88" s="369"/>
      <c r="I88" s="97"/>
      <c r="J88" s="115"/>
      <c r="K88" s="97"/>
      <c r="L88" s="115"/>
      <c r="M88" s="264" t="s">
        <v>206</v>
      </c>
      <c r="N88" s="170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spans="1:31" ht="15.75" customHeight="1">
      <c r="A89" s="147"/>
      <c r="B89" s="405"/>
      <c r="C89" s="405"/>
      <c r="D89" s="395" t="s">
        <v>48</v>
      </c>
      <c r="E89" s="406"/>
      <c r="F89" s="407" t="s">
        <v>57</v>
      </c>
      <c r="G89" s="398">
        <f>SUM(G90:G92)</f>
        <v>1600</v>
      </c>
      <c r="H89" s="399">
        <f>G89/$G$85</f>
        <v>4.790419161676647E-2</v>
      </c>
      <c r="I89" s="398">
        <f>SUM(I90:I92)</f>
        <v>5820</v>
      </c>
      <c r="J89" s="408">
        <f>I89/$I$85</f>
        <v>0.10539659543643608</v>
      </c>
      <c r="K89" s="409">
        <f>SUM(K90:K91)</f>
        <v>200</v>
      </c>
      <c r="L89" s="401">
        <f t="shared" ref="L89:L95" si="31">G89/I89</f>
        <v>0.27491408934707906</v>
      </c>
      <c r="M89" s="397"/>
      <c r="N89" s="403"/>
      <c r="O89" s="404"/>
      <c r="P89" s="404"/>
      <c r="Q89" s="404"/>
      <c r="R89" s="404"/>
      <c r="S89" s="404"/>
      <c r="T89" s="404"/>
      <c r="U89" s="404"/>
      <c r="V89" s="404"/>
      <c r="W89" s="404"/>
      <c r="X89" s="404"/>
      <c r="Y89" s="404"/>
      <c r="Z89" s="404"/>
      <c r="AA89" s="404"/>
      <c r="AB89" s="404"/>
      <c r="AC89" s="404"/>
      <c r="AD89" s="404"/>
      <c r="AE89" s="404"/>
    </row>
    <row r="90" spans="1:31" ht="15.75" customHeight="1">
      <c r="A90" s="246"/>
      <c r="B90" s="410"/>
      <c r="C90" s="297"/>
      <c r="D90" s="297"/>
      <c r="E90" s="143" t="s">
        <v>128</v>
      </c>
      <c r="F90" s="298" t="s">
        <v>129</v>
      </c>
      <c r="G90" s="384">
        <v>1400</v>
      </c>
      <c r="H90" s="369">
        <f t="shared" ref="H90:H92" si="32">G90/$G$89</f>
        <v>0.875</v>
      </c>
      <c r="I90" s="335">
        <v>1600</v>
      </c>
      <c r="J90" s="115">
        <f t="shared" ref="J90:J92" si="33">I90/$I$89</f>
        <v>0.27491408934707906</v>
      </c>
      <c r="K90" s="97">
        <f t="shared" ref="K90:K92" si="34">I90-G90</f>
        <v>200</v>
      </c>
      <c r="L90" s="115">
        <f t="shared" si="31"/>
        <v>0.875</v>
      </c>
      <c r="M90" s="310" t="s">
        <v>207</v>
      </c>
      <c r="N90" s="170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1:31" ht="15.75" customHeight="1">
      <c r="A91" s="246"/>
      <c r="B91" s="410"/>
      <c r="C91" s="297"/>
      <c r="D91" s="297"/>
      <c r="E91" s="143" t="s">
        <v>208</v>
      </c>
      <c r="F91" s="298" t="s">
        <v>209</v>
      </c>
      <c r="G91" s="170">
        <v>200</v>
      </c>
      <c r="H91" s="369">
        <f t="shared" si="32"/>
        <v>0.125</v>
      </c>
      <c r="I91" s="335">
        <v>200</v>
      </c>
      <c r="J91" s="115">
        <f t="shared" si="33"/>
        <v>3.4364261168384883E-2</v>
      </c>
      <c r="K91" s="97">
        <f t="shared" si="34"/>
        <v>0</v>
      </c>
      <c r="L91" s="115">
        <f t="shared" si="31"/>
        <v>1</v>
      </c>
      <c r="M91" s="310" t="s">
        <v>210</v>
      </c>
      <c r="N91" s="170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spans="1:31" ht="15.75" customHeight="1">
      <c r="A92" s="147"/>
      <c r="B92" s="410"/>
      <c r="C92" s="297"/>
      <c r="D92" s="297"/>
      <c r="E92" s="143" t="s">
        <v>170</v>
      </c>
      <c r="F92" s="264" t="s">
        <v>171</v>
      </c>
      <c r="G92" s="170">
        <v>0</v>
      </c>
      <c r="H92" s="369">
        <f t="shared" si="32"/>
        <v>0</v>
      </c>
      <c r="I92" s="335">
        <v>4020</v>
      </c>
      <c r="J92" s="115">
        <f t="shared" si="33"/>
        <v>0.69072164948453607</v>
      </c>
      <c r="K92" s="97">
        <f t="shared" si="34"/>
        <v>4020</v>
      </c>
      <c r="L92" s="115">
        <f t="shared" si="31"/>
        <v>0</v>
      </c>
      <c r="M92" s="310" t="s">
        <v>211</v>
      </c>
      <c r="N92" s="170"/>
      <c r="O92" s="3" t="s">
        <v>212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spans="1:31" ht="15.75" customHeight="1">
      <c r="A93" s="147"/>
      <c r="B93" s="395"/>
      <c r="C93" s="395"/>
      <c r="D93" s="395" t="s">
        <v>52</v>
      </c>
      <c r="E93" s="396"/>
      <c r="F93" s="407" t="s">
        <v>213</v>
      </c>
      <c r="G93" s="400">
        <f>SUM(G94:G95)</f>
        <v>3400</v>
      </c>
      <c r="H93" s="399">
        <f>G93/$G$85</f>
        <v>0.10179640718562874</v>
      </c>
      <c r="I93" s="400">
        <f>SUM(I94:I95)</f>
        <v>6700</v>
      </c>
      <c r="J93" s="408">
        <f>I93/$I$85</f>
        <v>0.12133285041651576</v>
      </c>
      <c r="K93" s="409">
        <f>SUM(K94:K95)</f>
        <v>3300</v>
      </c>
      <c r="L93" s="401">
        <f t="shared" si="31"/>
        <v>0.5074626865671642</v>
      </c>
      <c r="M93" s="397"/>
      <c r="N93" s="403"/>
      <c r="O93" s="404"/>
      <c r="P93" s="404"/>
      <c r="Q93" s="404"/>
      <c r="R93" s="404"/>
      <c r="S93" s="404"/>
      <c r="T93" s="404"/>
      <c r="U93" s="404"/>
      <c r="V93" s="404"/>
      <c r="W93" s="404"/>
      <c r="X93" s="404"/>
      <c r="Y93" s="404"/>
      <c r="Z93" s="404"/>
      <c r="AA93" s="404"/>
      <c r="AB93" s="404"/>
      <c r="AC93" s="404"/>
      <c r="AD93" s="404"/>
      <c r="AE93" s="404"/>
    </row>
    <row r="94" spans="1:31" ht="15.75" customHeight="1">
      <c r="A94" s="147"/>
      <c r="B94" s="146"/>
      <c r="C94" s="146"/>
      <c r="D94" s="146"/>
      <c r="E94" s="411" t="s">
        <v>128</v>
      </c>
      <c r="F94" s="412" t="s">
        <v>129</v>
      </c>
      <c r="G94" s="384">
        <v>1200</v>
      </c>
      <c r="H94" s="369">
        <f t="shared" ref="H94:H95" si="35">G94/$G$93</f>
        <v>0.35294117647058826</v>
      </c>
      <c r="I94" s="335">
        <v>1200</v>
      </c>
      <c r="J94" s="115">
        <f t="shared" ref="J94:J95" si="36">I94/$I$93</f>
        <v>0.17910447761194029</v>
      </c>
      <c r="K94" s="97">
        <f t="shared" ref="K94:K95" si="37">I94-G94</f>
        <v>0</v>
      </c>
      <c r="L94" s="115">
        <f t="shared" si="31"/>
        <v>1</v>
      </c>
      <c r="M94" s="413" t="s">
        <v>214</v>
      </c>
      <c r="N94" s="170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spans="1:31" ht="15.75" customHeight="1">
      <c r="A95" s="147"/>
      <c r="B95" s="146"/>
      <c r="C95" s="146"/>
      <c r="D95" s="146"/>
      <c r="E95" s="143" t="s">
        <v>208</v>
      </c>
      <c r="F95" s="3" t="s">
        <v>209</v>
      </c>
      <c r="G95" s="384">
        <v>2200</v>
      </c>
      <c r="H95" s="369">
        <f t="shared" si="35"/>
        <v>0.6470588235294118</v>
      </c>
      <c r="I95" s="335">
        <v>5500</v>
      </c>
      <c r="J95" s="115">
        <f t="shared" si="36"/>
        <v>0.82089552238805974</v>
      </c>
      <c r="K95" s="97">
        <f t="shared" si="37"/>
        <v>3300</v>
      </c>
      <c r="L95" s="115">
        <f t="shared" si="31"/>
        <v>0.4</v>
      </c>
      <c r="M95" s="310" t="s">
        <v>215</v>
      </c>
      <c r="N95" s="170"/>
      <c r="O95" s="3" t="s">
        <v>216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1:31" ht="15.75" customHeight="1">
      <c r="A96" s="147"/>
      <c r="B96" s="146"/>
      <c r="C96" s="146"/>
      <c r="D96" s="146"/>
      <c r="E96" s="143"/>
      <c r="F96" s="3"/>
      <c r="G96" s="170"/>
      <c r="H96" s="369"/>
      <c r="I96" s="97"/>
      <c r="J96" s="115"/>
      <c r="K96" s="97"/>
      <c r="L96" s="115"/>
      <c r="M96" s="310" t="s">
        <v>217</v>
      </c>
      <c r="N96" s="170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spans="1:31" ht="15.75" customHeight="1">
      <c r="A97" s="147"/>
      <c r="B97" s="395"/>
      <c r="C97" s="395"/>
      <c r="D97" s="395" t="s">
        <v>53</v>
      </c>
      <c r="E97" s="396"/>
      <c r="F97" s="407" t="s">
        <v>59</v>
      </c>
      <c r="G97" s="400">
        <f>SUM(G98:G107)</f>
        <v>10300</v>
      </c>
      <c r="H97" s="399">
        <f>G97/$G$85</f>
        <v>0.30838323353293412</v>
      </c>
      <c r="I97" s="400">
        <f>SUM(I98:I107)</f>
        <v>16800</v>
      </c>
      <c r="J97" s="408">
        <f>I97/$I$85</f>
        <v>0.30423759507424847</v>
      </c>
      <c r="K97" s="398">
        <f>SUM(K98:K107)</f>
        <v>6500</v>
      </c>
      <c r="L97" s="401">
        <f t="shared" ref="L97:L98" si="38">G97/I97</f>
        <v>0.61309523809523814</v>
      </c>
      <c r="M97" s="397"/>
      <c r="N97" s="403"/>
      <c r="O97" s="404"/>
      <c r="P97" s="404"/>
      <c r="Q97" s="404"/>
      <c r="R97" s="404"/>
      <c r="S97" s="404"/>
      <c r="T97" s="404"/>
      <c r="U97" s="404"/>
      <c r="V97" s="404"/>
      <c r="W97" s="404"/>
      <c r="X97" s="404"/>
      <c r="Y97" s="404"/>
      <c r="Z97" s="404"/>
      <c r="AA97" s="404"/>
      <c r="AB97" s="404"/>
      <c r="AC97" s="404"/>
      <c r="AD97" s="404"/>
      <c r="AE97" s="404"/>
    </row>
    <row r="98" spans="1:31" ht="15.75" customHeight="1">
      <c r="A98" s="147"/>
      <c r="B98" s="410"/>
      <c r="C98" s="297"/>
      <c r="D98" s="297"/>
      <c r="E98" s="143" t="s">
        <v>128</v>
      </c>
      <c r="F98" s="298" t="s">
        <v>129</v>
      </c>
      <c r="G98" s="384">
        <v>1400</v>
      </c>
      <c r="H98" s="369">
        <f>G98/$G$97</f>
        <v>0.13592233009708737</v>
      </c>
      <c r="I98" s="335">
        <v>1400</v>
      </c>
      <c r="J98" s="115">
        <f>I98/$I$97</f>
        <v>8.3333333333333329E-2</v>
      </c>
      <c r="K98" s="97">
        <f>I98-G98</f>
        <v>0</v>
      </c>
      <c r="L98" s="115">
        <f t="shared" si="38"/>
        <v>1</v>
      </c>
      <c r="M98" s="310" t="s">
        <v>218</v>
      </c>
      <c r="N98" s="170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spans="1:31" ht="15.75" customHeight="1">
      <c r="A99" s="147"/>
      <c r="B99" s="410"/>
      <c r="C99" s="297"/>
      <c r="D99" s="297"/>
      <c r="E99" s="231"/>
      <c r="F99" s="306"/>
      <c r="G99" s="170"/>
      <c r="H99" s="369"/>
      <c r="I99" s="414"/>
      <c r="J99" s="115"/>
      <c r="K99" s="97"/>
      <c r="L99" s="115"/>
      <c r="M99" s="310" t="s">
        <v>219</v>
      </c>
      <c r="N99" s="170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spans="1:31" ht="15.75" customHeight="1">
      <c r="A100" s="147"/>
      <c r="B100" s="410"/>
      <c r="C100" s="297"/>
      <c r="D100" s="297"/>
      <c r="E100" s="143" t="s">
        <v>208</v>
      </c>
      <c r="F100" s="298" t="s">
        <v>209</v>
      </c>
      <c r="G100" s="110">
        <v>8900</v>
      </c>
      <c r="H100" s="369">
        <f>G100/$G$97</f>
        <v>0.86407766990291257</v>
      </c>
      <c r="I100" s="335">
        <v>8900</v>
      </c>
      <c r="J100" s="115">
        <f>I100/$I$97</f>
        <v>0.52976190476190477</v>
      </c>
      <c r="K100" s="97">
        <f>I100-G100</f>
        <v>0</v>
      </c>
      <c r="L100" s="115">
        <f>G100/I100</f>
        <v>1</v>
      </c>
      <c r="M100" s="310" t="s">
        <v>220</v>
      </c>
      <c r="N100" s="170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spans="1:31" ht="15.75" customHeight="1">
      <c r="A101" s="147"/>
      <c r="B101" s="410"/>
      <c r="C101" s="297"/>
      <c r="D101" s="297"/>
      <c r="E101" s="231"/>
      <c r="F101" s="306"/>
      <c r="G101" s="264"/>
      <c r="H101" s="115"/>
      <c r="I101" s="414"/>
      <c r="J101" s="115"/>
      <c r="K101" s="97"/>
      <c r="L101" s="115"/>
      <c r="M101" s="310" t="s">
        <v>221</v>
      </c>
      <c r="N101" s="170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spans="1:31" ht="15.75" customHeight="1">
      <c r="A102" s="147"/>
      <c r="B102" s="410"/>
      <c r="C102" s="297"/>
      <c r="D102" s="297"/>
      <c r="E102" s="231"/>
      <c r="F102" s="306"/>
      <c r="G102" s="264"/>
      <c r="H102" s="115"/>
      <c r="I102" s="414"/>
      <c r="J102" s="115"/>
      <c r="K102" s="97"/>
      <c r="L102" s="115"/>
      <c r="M102" s="310" t="s">
        <v>222</v>
      </c>
      <c r="N102" s="170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spans="1:31" ht="15.75" customHeight="1">
      <c r="A103" s="147"/>
      <c r="B103" s="410"/>
      <c r="C103" s="297"/>
      <c r="D103" s="297"/>
      <c r="E103" s="231"/>
      <c r="F103" s="306"/>
      <c r="G103" s="264"/>
      <c r="H103" s="115"/>
      <c r="I103" s="414"/>
      <c r="J103" s="115"/>
      <c r="K103" s="97"/>
      <c r="L103" s="115"/>
      <c r="M103" s="310" t="s">
        <v>223</v>
      </c>
      <c r="N103" s="170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spans="1:31" ht="15.75" customHeight="1">
      <c r="A104" s="147"/>
      <c r="B104" s="410"/>
      <c r="C104" s="297"/>
      <c r="D104" s="297"/>
      <c r="E104" s="143" t="s">
        <v>224</v>
      </c>
      <c r="F104" s="298" t="s">
        <v>225</v>
      </c>
      <c r="G104" s="264">
        <v>0</v>
      </c>
      <c r="H104" s="369">
        <f t="shared" ref="H104:H105" si="39">G104/$G$97</f>
        <v>0</v>
      </c>
      <c r="I104" s="335">
        <v>4000</v>
      </c>
      <c r="J104" s="115">
        <f t="shared" ref="J104:J105" si="40">I104/$I$97</f>
        <v>0.23809523809523808</v>
      </c>
      <c r="K104" s="97">
        <f t="shared" ref="K104:K105" si="41">I104-G104</f>
        <v>4000</v>
      </c>
      <c r="L104" s="115">
        <f t="shared" ref="L104:L105" si="42">G104/I104</f>
        <v>0</v>
      </c>
      <c r="M104" s="310" t="s">
        <v>226</v>
      </c>
      <c r="N104" s="170"/>
      <c r="O104" s="3" t="s">
        <v>227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spans="1:31" ht="15.75" customHeight="1">
      <c r="A105" s="147"/>
      <c r="B105" s="410"/>
      <c r="C105" s="297"/>
      <c r="D105" s="297"/>
      <c r="E105" s="143" t="s">
        <v>143</v>
      </c>
      <c r="F105" s="298" t="s">
        <v>144</v>
      </c>
      <c r="G105" s="264">
        <v>0</v>
      </c>
      <c r="H105" s="369">
        <f t="shared" si="39"/>
        <v>0</v>
      </c>
      <c r="I105" s="335">
        <v>2500</v>
      </c>
      <c r="J105" s="115">
        <f t="shared" si="40"/>
        <v>0.14880952380952381</v>
      </c>
      <c r="K105" s="97">
        <f t="shared" si="41"/>
        <v>2500</v>
      </c>
      <c r="L105" s="115">
        <f t="shared" si="42"/>
        <v>0</v>
      </c>
      <c r="M105" s="310" t="s">
        <v>228</v>
      </c>
      <c r="N105" s="170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spans="1:31" ht="15.75" customHeight="1">
      <c r="A106" s="147"/>
      <c r="B106" s="410"/>
      <c r="C106" s="297"/>
      <c r="D106" s="297"/>
      <c r="E106" s="143"/>
      <c r="F106" s="298"/>
      <c r="G106" s="264"/>
      <c r="H106" s="115"/>
      <c r="I106" s="414"/>
      <c r="J106" s="115"/>
      <c r="K106" s="97"/>
      <c r="L106" s="115"/>
      <c r="M106" s="310" t="s">
        <v>229</v>
      </c>
      <c r="N106" s="170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spans="1:31" ht="15.75" customHeight="1">
      <c r="A107" s="147"/>
      <c r="B107" s="410"/>
      <c r="C107" s="297"/>
      <c r="D107" s="297"/>
      <c r="E107" s="143"/>
      <c r="F107" s="298"/>
      <c r="G107" s="264"/>
      <c r="H107" s="115"/>
      <c r="I107" s="414"/>
      <c r="J107" s="115"/>
      <c r="K107" s="97"/>
      <c r="L107" s="115"/>
      <c r="M107" s="310" t="s">
        <v>230</v>
      </c>
      <c r="N107" s="170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spans="1:31" ht="15.75" customHeight="1">
      <c r="A108" s="147"/>
      <c r="B108" s="395"/>
      <c r="C108" s="395"/>
      <c r="D108" s="395" t="s">
        <v>55</v>
      </c>
      <c r="E108" s="396"/>
      <c r="F108" s="407" t="s">
        <v>231</v>
      </c>
      <c r="G108" s="400">
        <f>SUM(G109:G111)</f>
        <v>10000</v>
      </c>
      <c r="H108" s="399">
        <f>G108/$G$85</f>
        <v>0.29940119760479039</v>
      </c>
      <c r="I108" s="400">
        <f>SUM(I109:I111)</f>
        <v>10000</v>
      </c>
      <c r="J108" s="408">
        <f>I108/$I$85</f>
        <v>0.18109380659181457</v>
      </c>
      <c r="K108" s="398">
        <f>SUM(K109:K111)</f>
        <v>0</v>
      </c>
      <c r="L108" s="401">
        <f t="shared" ref="L108:L110" si="43">G108/I108</f>
        <v>1</v>
      </c>
      <c r="M108" s="397"/>
      <c r="N108" s="403" t="s">
        <v>232</v>
      </c>
      <c r="O108" s="404"/>
      <c r="P108" s="404"/>
      <c r="Q108" s="404"/>
      <c r="R108" s="404"/>
      <c r="S108" s="404"/>
      <c r="T108" s="404"/>
      <c r="U108" s="404"/>
      <c r="V108" s="404"/>
      <c r="W108" s="404"/>
      <c r="X108" s="404"/>
      <c r="Y108" s="404"/>
      <c r="Z108" s="404"/>
      <c r="AA108" s="404"/>
      <c r="AB108" s="404"/>
      <c r="AC108" s="404"/>
      <c r="AD108" s="404"/>
      <c r="AE108" s="404"/>
    </row>
    <row r="109" spans="1:31" ht="15.75" customHeight="1">
      <c r="A109" s="147"/>
      <c r="B109" s="415"/>
      <c r="C109" s="297"/>
      <c r="D109" s="297"/>
      <c r="E109" s="143" t="s">
        <v>128</v>
      </c>
      <c r="F109" s="298" t="s">
        <v>129</v>
      </c>
      <c r="G109" s="110">
        <v>1000</v>
      </c>
      <c r="H109" s="115">
        <f t="shared" ref="H109:H110" si="44">G109/$G$108</f>
        <v>0.1</v>
      </c>
      <c r="I109" s="335">
        <v>1000</v>
      </c>
      <c r="J109" s="115">
        <f t="shared" ref="J109:J110" si="45">I109/$I$108</f>
        <v>0.1</v>
      </c>
      <c r="K109" s="97">
        <f t="shared" ref="K109:K110" si="46">I109-G109</f>
        <v>0</v>
      </c>
      <c r="L109" s="115">
        <f t="shared" si="43"/>
        <v>1</v>
      </c>
      <c r="M109" s="310" t="s">
        <v>233</v>
      </c>
      <c r="N109" s="170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spans="1:31" ht="15.75" customHeight="1">
      <c r="A110" s="147"/>
      <c r="B110" s="415"/>
      <c r="C110" s="297"/>
      <c r="D110" s="297"/>
      <c r="E110" s="143" t="s">
        <v>208</v>
      </c>
      <c r="F110" s="298" t="s">
        <v>209</v>
      </c>
      <c r="G110" s="110">
        <v>9000</v>
      </c>
      <c r="H110" s="115">
        <f t="shared" si="44"/>
        <v>0.9</v>
      </c>
      <c r="I110" s="335">
        <v>9000</v>
      </c>
      <c r="J110" s="115">
        <f t="shared" si="45"/>
        <v>0.9</v>
      </c>
      <c r="K110" s="97">
        <f t="shared" si="46"/>
        <v>0</v>
      </c>
      <c r="L110" s="115">
        <f t="shared" si="43"/>
        <v>1</v>
      </c>
      <c r="M110" s="310" t="s">
        <v>234</v>
      </c>
      <c r="N110" s="170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spans="1:31" ht="15.75" customHeight="1">
      <c r="A111" s="147"/>
      <c r="B111" s="415"/>
      <c r="C111" s="297"/>
      <c r="D111" s="297"/>
      <c r="E111" s="231"/>
      <c r="F111" s="306"/>
      <c r="G111" s="264"/>
      <c r="H111" s="115"/>
      <c r="I111" s="335"/>
      <c r="J111" s="115"/>
      <c r="K111" s="97"/>
      <c r="L111" s="115"/>
      <c r="M111" s="310" t="s">
        <v>235</v>
      </c>
      <c r="N111" s="170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spans="1:31" ht="15.75" customHeight="1">
      <c r="A112" s="147"/>
      <c r="B112" s="395"/>
      <c r="C112" s="395"/>
      <c r="D112" s="395" t="s">
        <v>61</v>
      </c>
      <c r="E112" s="396"/>
      <c r="F112" s="407" t="s">
        <v>62</v>
      </c>
      <c r="G112" s="400">
        <f>SUM(G113:G119)</f>
        <v>8100</v>
      </c>
      <c r="H112" s="399">
        <f>G112/$G$85</f>
        <v>0.24251497005988024</v>
      </c>
      <c r="I112" s="400">
        <f>SUM(I113:I119)</f>
        <v>9900</v>
      </c>
      <c r="J112" s="408">
        <f>I112/$I$85</f>
        <v>0.17928286852589642</v>
      </c>
      <c r="K112" s="398">
        <f>SUM(K113:K119)</f>
        <v>1800</v>
      </c>
      <c r="L112" s="401">
        <f t="shared" ref="L112:L113" si="47">G112/I112</f>
        <v>0.81818181818181823</v>
      </c>
      <c r="M112" s="397"/>
      <c r="N112" s="403"/>
      <c r="O112" s="404"/>
      <c r="P112" s="404"/>
      <c r="Q112" s="404"/>
      <c r="R112" s="404"/>
      <c r="S112" s="404"/>
      <c r="T112" s="404"/>
      <c r="U112" s="404"/>
      <c r="V112" s="404"/>
      <c r="W112" s="404"/>
      <c r="X112" s="404"/>
      <c r="Y112" s="404"/>
      <c r="Z112" s="404"/>
      <c r="AA112" s="404"/>
      <c r="AB112" s="404"/>
      <c r="AC112" s="404"/>
      <c r="AD112" s="404"/>
      <c r="AE112" s="404"/>
    </row>
    <row r="113" spans="1:31" ht="15.75" customHeight="1">
      <c r="A113" s="147"/>
      <c r="B113" s="410"/>
      <c r="C113" s="297"/>
      <c r="D113" s="297"/>
      <c r="E113" s="143" t="s">
        <v>128</v>
      </c>
      <c r="F113" s="298" t="s">
        <v>129</v>
      </c>
      <c r="G113" s="110">
        <v>1400</v>
      </c>
      <c r="H113" s="115">
        <f>G113/$G$112</f>
        <v>0.1728395061728395</v>
      </c>
      <c r="I113" s="335">
        <v>1400</v>
      </c>
      <c r="J113" s="115">
        <f>I113/$I$112</f>
        <v>0.14141414141414141</v>
      </c>
      <c r="K113" s="97">
        <f>I113-G113</f>
        <v>0</v>
      </c>
      <c r="L113" s="115">
        <f t="shared" si="47"/>
        <v>1</v>
      </c>
      <c r="M113" s="310" t="s">
        <v>236</v>
      </c>
      <c r="N113" s="170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spans="1:31" ht="15.75" customHeight="1">
      <c r="A114" s="147"/>
      <c r="B114" s="410"/>
      <c r="C114" s="297"/>
      <c r="D114" s="297"/>
      <c r="E114" s="231"/>
      <c r="F114" s="306"/>
      <c r="G114" s="264"/>
      <c r="H114" s="115"/>
      <c r="I114" s="414"/>
      <c r="J114" s="115"/>
      <c r="K114" s="97"/>
      <c r="L114" s="115"/>
      <c r="M114" s="310" t="s">
        <v>237</v>
      </c>
      <c r="N114" s="170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spans="1:31" ht="15.75" customHeight="1">
      <c r="A115" s="147"/>
      <c r="B115" s="410"/>
      <c r="C115" s="297"/>
      <c r="D115" s="297"/>
      <c r="E115" s="143" t="s">
        <v>208</v>
      </c>
      <c r="F115" s="298" t="s">
        <v>209</v>
      </c>
      <c r="G115" s="110">
        <v>1100</v>
      </c>
      <c r="H115" s="115">
        <f>G115/$G$112</f>
        <v>0.13580246913580246</v>
      </c>
      <c r="I115" s="335">
        <v>2200</v>
      </c>
      <c r="J115" s="115">
        <f>I115/$I$112</f>
        <v>0.22222222222222221</v>
      </c>
      <c r="K115" s="97">
        <f>I115-G115</f>
        <v>1100</v>
      </c>
      <c r="L115" s="115">
        <f>G115/I115</f>
        <v>0.5</v>
      </c>
      <c r="M115" s="310" t="s">
        <v>238</v>
      </c>
      <c r="N115" s="170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spans="1:31" ht="15.75" customHeight="1">
      <c r="A116" s="147"/>
      <c r="B116" s="410"/>
      <c r="C116" s="297"/>
      <c r="D116" s="297"/>
      <c r="E116" s="231"/>
      <c r="F116" s="306"/>
      <c r="G116" s="264"/>
      <c r="H116" s="115"/>
      <c r="I116" s="414"/>
      <c r="J116" s="115"/>
      <c r="K116" s="97"/>
      <c r="L116" s="115"/>
      <c r="M116" s="310" t="s">
        <v>239</v>
      </c>
      <c r="N116" s="170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spans="1:31" ht="15.75" customHeight="1">
      <c r="A117" s="147"/>
      <c r="B117" s="410"/>
      <c r="C117" s="297"/>
      <c r="D117" s="297"/>
      <c r="E117" s="143" t="s">
        <v>224</v>
      </c>
      <c r="F117" s="298" t="s">
        <v>225</v>
      </c>
      <c r="G117" s="110">
        <v>2000</v>
      </c>
      <c r="H117" s="115">
        <f t="shared" ref="H117:H119" si="48">G117/$G$112</f>
        <v>0.24691358024691357</v>
      </c>
      <c r="I117" s="335">
        <v>2000</v>
      </c>
      <c r="J117" s="115">
        <f t="shared" ref="J117:J119" si="49">I117/$I$112</f>
        <v>0.20202020202020202</v>
      </c>
      <c r="K117" s="97">
        <f t="shared" ref="K117:K119" si="50">I117-G117</f>
        <v>0</v>
      </c>
      <c r="L117" s="115">
        <f t="shared" ref="L117:L124" si="51">G117/I117</f>
        <v>1</v>
      </c>
      <c r="M117" s="310" t="s">
        <v>240</v>
      </c>
      <c r="N117" s="170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spans="1:31" ht="15.75" customHeight="1">
      <c r="A118" s="147"/>
      <c r="B118" s="410"/>
      <c r="C118" s="297"/>
      <c r="D118" s="297"/>
      <c r="E118" s="143" t="s">
        <v>138</v>
      </c>
      <c r="F118" s="298" t="s">
        <v>139</v>
      </c>
      <c r="G118" s="110">
        <v>3600</v>
      </c>
      <c r="H118" s="115">
        <f t="shared" si="48"/>
        <v>0.44444444444444442</v>
      </c>
      <c r="I118" s="335">
        <v>3600</v>
      </c>
      <c r="J118" s="115">
        <f t="shared" si="49"/>
        <v>0.36363636363636365</v>
      </c>
      <c r="K118" s="97">
        <f t="shared" si="50"/>
        <v>0</v>
      </c>
      <c r="L118" s="115">
        <f t="shared" si="51"/>
        <v>1</v>
      </c>
      <c r="M118" s="310" t="s">
        <v>241</v>
      </c>
      <c r="N118" s="170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spans="1:31" ht="15.75" customHeight="1">
      <c r="A119" s="147"/>
      <c r="B119" s="410"/>
      <c r="C119" s="297"/>
      <c r="D119" s="297"/>
      <c r="E119" s="143" t="s">
        <v>174</v>
      </c>
      <c r="F119" s="298" t="s">
        <v>175</v>
      </c>
      <c r="G119" s="264">
        <v>0</v>
      </c>
      <c r="H119" s="115">
        <f t="shared" si="48"/>
        <v>0</v>
      </c>
      <c r="I119" s="335">
        <v>700</v>
      </c>
      <c r="J119" s="115">
        <f t="shared" si="49"/>
        <v>7.0707070707070704E-2</v>
      </c>
      <c r="K119" s="97">
        <f t="shared" si="50"/>
        <v>700</v>
      </c>
      <c r="L119" s="115">
        <f t="shared" si="51"/>
        <v>0</v>
      </c>
      <c r="M119" s="310" t="s">
        <v>242</v>
      </c>
      <c r="N119" s="170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spans="1:31" ht="15.75" customHeight="1">
      <c r="A120" s="147"/>
      <c r="B120" s="316"/>
      <c r="C120" s="316" t="s">
        <v>48</v>
      </c>
      <c r="D120" s="316" t="s">
        <v>46</v>
      </c>
      <c r="E120" s="385"/>
      <c r="F120" s="294" t="s">
        <v>243</v>
      </c>
      <c r="G120" s="333">
        <f>SUM(G121,G123,G129)</f>
        <v>13312</v>
      </c>
      <c r="H120" s="293">
        <f>G120/G80</f>
        <v>0.11420923488735223</v>
      </c>
      <c r="I120" s="332">
        <f>I121+I123+I129</f>
        <v>29580</v>
      </c>
      <c r="J120" s="293">
        <f>I120/$I$80</f>
        <v>0.17443197565736324</v>
      </c>
      <c r="K120" s="333">
        <f>K121+K123+K129+K137</f>
        <v>15768</v>
      </c>
      <c r="L120" s="293">
        <f t="shared" si="51"/>
        <v>0.45003380662609871</v>
      </c>
      <c r="M120" s="294"/>
      <c r="N120" s="321"/>
      <c r="O120" s="322"/>
      <c r="P120" s="322"/>
      <c r="Q120" s="322"/>
      <c r="R120" s="322"/>
      <c r="S120" s="322"/>
      <c r="T120" s="322"/>
      <c r="U120" s="322"/>
      <c r="V120" s="322"/>
      <c r="W120" s="322"/>
      <c r="X120" s="322"/>
      <c r="Y120" s="322"/>
      <c r="Z120" s="322"/>
      <c r="AA120" s="322"/>
      <c r="AB120" s="322"/>
      <c r="AC120" s="322"/>
      <c r="AD120" s="322"/>
      <c r="AE120" s="322"/>
    </row>
    <row r="121" spans="1:31" ht="15.75" customHeight="1">
      <c r="A121" s="147"/>
      <c r="B121" s="395"/>
      <c r="C121" s="395"/>
      <c r="D121" s="395" t="s">
        <v>45</v>
      </c>
      <c r="E121" s="396"/>
      <c r="F121" s="407" t="s">
        <v>244</v>
      </c>
      <c r="G121" s="398">
        <v>0</v>
      </c>
      <c r="H121" s="399">
        <v>0</v>
      </c>
      <c r="I121" s="400">
        <f>SUM(I122)</f>
        <v>3000</v>
      </c>
      <c r="J121" s="408">
        <f>I121/$I$120</f>
        <v>0.10141987829614604</v>
      </c>
      <c r="K121" s="398">
        <f>K122</f>
        <v>3000</v>
      </c>
      <c r="L121" s="401">
        <f t="shared" si="51"/>
        <v>0</v>
      </c>
      <c r="M121" s="397"/>
      <c r="N121" s="397"/>
      <c r="O121" s="416"/>
      <c r="P121" s="404"/>
      <c r="Q121" s="404"/>
      <c r="R121" s="404"/>
      <c r="S121" s="404"/>
      <c r="T121" s="404"/>
      <c r="U121" s="404"/>
      <c r="V121" s="404"/>
      <c r="W121" s="404"/>
      <c r="X121" s="404"/>
      <c r="Y121" s="404"/>
      <c r="Z121" s="404"/>
      <c r="AA121" s="404"/>
      <c r="AB121" s="404"/>
      <c r="AC121" s="404"/>
      <c r="AD121" s="404"/>
      <c r="AE121" s="404"/>
    </row>
    <row r="122" spans="1:31" ht="15.75" customHeight="1">
      <c r="A122" s="147"/>
      <c r="B122" s="146"/>
      <c r="C122" s="146"/>
      <c r="D122" s="146"/>
      <c r="E122" s="143" t="s">
        <v>134</v>
      </c>
      <c r="F122" s="3" t="s">
        <v>135</v>
      </c>
      <c r="G122" s="384">
        <v>0</v>
      </c>
      <c r="H122" s="369">
        <v>0</v>
      </c>
      <c r="I122" s="97">
        <v>3000</v>
      </c>
      <c r="J122" s="276">
        <f>I122/I121</f>
        <v>1</v>
      </c>
      <c r="K122" s="97">
        <f>I122-G122</f>
        <v>3000</v>
      </c>
      <c r="L122" s="115">
        <f t="shared" si="51"/>
        <v>0</v>
      </c>
      <c r="M122" s="309" t="s">
        <v>169</v>
      </c>
      <c r="N122" s="170"/>
      <c r="O122" s="3" t="s">
        <v>245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spans="1:31" ht="15.75" customHeight="1">
      <c r="A123" s="147"/>
      <c r="B123" s="395"/>
      <c r="C123" s="395"/>
      <c r="D123" s="395" t="s">
        <v>48</v>
      </c>
      <c r="E123" s="396"/>
      <c r="F123" s="407" t="s">
        <v>64</v>
      </c>
      <c r="G123" s="400">
        <f>SUM(G124:G127)</f>
        <v>3152</v>
      </c>
      <c r="H123" s="399">
        <f>G123/G120</f>
        <v>0.23677884615384615</v>
      </c>
      <c r="I123" s="400">
        <f>SUM(I124:I127)</f>
        <v>12380</v>
      </c>
      <c r="J123" s="408">
        <f>I123/$I$120</f>
        <v>0.41852603110209602</v>
      </c>
      <c r="K123" s="398">
        <f>SUM(K124:K127)</f>
        <v>9228</v>
      </c>
      <c r="L123" s="401">
        <f t="shared" si="51"/>
        <v>0.25460420032310177</v>
      </c>
      <c r="M123" s="397"/>
      <c r="N123" s="397"/>
      <c r="O123" s="404"/>
      <c r="P123" s="404"/>
      <c r="Q123" s="404"/>
      <c r="R123" s="404"/>
      <c r="S123" s="404"/>
      <c r="T123" s="404"/>
      <c r="U123" s="404"/>
      <c r="V123" s="404"/>
      <c r="W123" s="404"/>
      <c r="X123" s="404"/>
      <c r="Y123" s="404"/>
      <c r="Z123" s="404"/>
      <c r="AA123" s="404"/>
      <c r="AB123" s="404"/>
      <c r="AC123" s="404"/>
      <c r="AD123" s="404"/>
      <c r="AE123" s="404"/>
    </row>
    <row r="124" spans="1:31" ht="15.75" customHeight="1">
      <c r="A124" s="147"/>
      <c r="B124" s="410"/>
      <c r="C124" s="297"/>
      <c r="D124" s="297"/>
      <c r="E124" s="143" t="s">
        <v>128</v>
      </c>
      <c r="F124" s="298" t="s">
        <v>129</v>
      </c>
      <c r="G124" s="384">
        <v>1520</v>
      </c>
      <c r="H124" s="369">
        <f>G124/$G$123</f>
        <v>0.48223350253807107</v>
      </c>
      <c r="I124" s="335">
        <v>1600</v>
      </c>
      <c r="J124" s="115">
        <f>I124/$I$123</f>
        <v>0.12924071082390953</v>
      </c>
      <c r="K124" s="97">
        <f>I124-G124</f>
        <v>80</v>
      </c>
      <c r="L124" s="115">
        <f t="shared" si="51"/>
        <v>0.95</v>
      </c>
      <c r="M124" s="310" t="s">
        <v>246</v>
      </c>
      <c r="N124" s="170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spans="1:31" ht="15.75" customHeight="1">
      <c r="A125" s="147"/>
      <c r="B125" s="410"/>
      <c r="C125" s="297"/>
      <c r="D125" s="297"/>
      <c r="E125" s="231"/>
      <c r="F125" s="306"/>
      <c r="G125" s="384"/>
      <c r="H125" s="369"/>
      <c r="I125" s="414"/>
      <c r="J125" s="115"/>
      <c r="K125" s="314"/>
      <c r="L125" s="115"/>
      <c r="M125" s="310" t="s">
        <v>247</v>
      </c>
      <c r="N125" s="170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spans="1:31" ht="15.75" customHeight="1">
      <c r="A126" s="147"/>
      <c r="B126" s="410"/>
      <c r="C126" s="297"/>
      <c r="D126" s="297"/>
      <c r="E126" s="143" t="s">
        <v>208</v>
      </c>
      <c r="F126" s="298" t="s">
        <v>209</v>
      </c>
      <c r="G126" s="384">
        <v>1632</v>
      </c>
      <c r="H126" s="369">
        <f>G126/$G$123</f>
        <v>0.51776649746192893</v>
      </c>
      <c r="I126" s="335">
        <v>10780</v>
      </c>
      <c r="J126" s="115">
        <f>I126/$I$123</f>
        <v>0.87075928917609047</v>
      </c>
      <c r="K126" s="97">
        <f>I126-G126</f>
        <v>9148</v>
      </c>
      <c r="L126" s="115">
        <f>G126/I126</f>
        <v>0.15139146567717995</v>
      </c>
      <c r="M126" s="310" t="s">
        <v>248</v>
      </c>
      <c r="N126" s="170"/>
      <c r="O126" s="3" t="s">
        <v>249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spans="1:31" ht="15.75" customHeight="1">
      <c r="A127" s="147"/>
      <c r="B127" s="410"/>
      <c r="C127" s="297"/>
      <c r="D127" s="297"/>
      <c r="E127" s="231"/>
      <c r="F127" s="306"/>
      <c r="G127" s="384"/>
      <c r="H127" s="369"/>
      <c r="I127" s="335"/>
      <c r="J127" s="115"/>
      <c r="K127" s="97"/>
      <c r="L127" s="115"/>
      <c r="M127" s="310" t="s">
        <v>250</v>
      </c>
      <c r="N127" s="170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spans="1:31" ht="15.75" customHeight="1">
      <c r="A128" s="147"/>
      <c r="B128" s="146"/>
      <c r="C128" s="146"/>
      <c r="D128" s="146"/>
      <c r="E128" s="143"/>
      <c r="F128" s="3"/>
      <c r="G128" s="384"/>
      <c r="H128" s="369"/>
      <c r="I128" s="335"/>
      <c r="J128" s="115"/>
      <c r="K128" s="97"/>
      <c r="L128" s="115"/>
      <c r="M128" s="310" t="s">
        <v>251</v>
      </c>
      <c r="N128" s="170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spans="1:31" ht="15.75" customHeight="1">
      <c r="A129" s="147"/>
      <c r="B129" s="395"/>
      <c r="C129" s="395"/>
      <c r="D129" s="395" t="s">
        <v>52</v>
      </c>
      <c r="E129" s="396"/>
      <c r="F129" s="407" t="s">
        <v>65</v>
      </c>
      <c r="G129" s="400">
        <f>SUM(G130:G138)</f>
        <v>10160</v>
      </c>
      <c r="H129" s="399">
        <f>G129/G120</f>
        <v>0.76322115384615385</v>
      </c>
      <c r="I129" s="400">
        <f>SUM(I130:I138)</f>
        <v>14200</v>
      </c>
      <c r="J129" s="408">
        <f>I129/$I$120</f>
        <v>0.48005409060175797</v>
      </c>
      <c r="K129" s="398">
        <f>SUM(K130:K133)</f>
        <v>3140</v>
      </c>
      <c r="L129" s="401">
        <f t="shared" ref="L129:L130" si="52">G129/I129</f>
        <v>0.71549295774647892</v>
      </c>
      <c r="M129" s="397"/>
      <c r="N129" s="397"/>
      <c r="O129" s="416"/>
      <c r="P129" s="404"/>
      <c r="Q129" s="404"/>
      <c r="R129" s="404"/>
      <c r="S129" s="404"/>
      <c r="T129" s="404"/>
      <c r="U129" s="404"/>
      <c r="V129" s="404"/>
      <c r="W129" s="404"/>
      <c r="X129" s="404"/>
      <c r="Y129" s="404"/>
      <c r="Z129" s="404"/>
      <c r="AA129" s="404"/>
      <c r="AB129" s="404"/>
      <c r="AC129" s="404"/>
      <c r="AD129" s="404"/>
      <c r="AE129" s="404"/>
    </row>
    <row r="130" spans="1:31" ht="15.75" customHeight="1">
      <c r="A130" s="147"/>
      <c r="B130" s="410"/>
      <c r="C130" s="297"/>
      <c r="D130" s="297"/>
      <c r="E130" s="143" t="s">
        <v>128</v>
      </c>
      <c r="F130" s="298" t="s">
        <v>129</v>
      </c>
      <c r="G130" s="384">
        <v>760</v>
      </c>
      <c r="H130" s="369">
        <f>G130/$G$129</f>
        <v>7.4803149606299218E-2</v>
      </c>
      <c r="I130" s="335">
        <v>3200</v>
      </c>
      <c r="J130" s="115">
        <f>I130/$I$129</f>
        <v>0.22535211267605634</v>
      </c>
      <c r="K130" s="97">
        <f>I130-G130</f>
        <v>2440</v>
      </c>
      <c r="L130" s="115">
        <f t="shared" si="52"/>
        <v>0.23749999999999999</v>
      </c>
      <c r="M130" s="310" t="s">
        <v>252</v>
      </c>
      <c r="N130" s="170"/>
      <c r="O130" s="3" t="s">
        <v>253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spans="1:31" ht="15.75" customHeight="1">
      <c r="A131" s="147"/>
      <c r="B131" s="410"/>
      <c r="C131" s="297"/>
      <c r="D131" s="297"/>
      <c r="E131" s="231"/>
      <c r="F131" s="306"/>
      <c r="G131" s="384"/>
      <c r="H131" s="369"/>
      <c r="I131" s="414"/>
      <c r="J131" s="115"/>
      <c r="K131" s="97"/>
      <c r="L131" s="115"/>
      <c r="M131" s="310" t="s">
        <v>254</v>
      </c>
      <c r="N131" s="170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spans="1:31" ht="15.75" customHeight="1">
      <c r="A132" s="417"/>
      <c r="B132" s="410"/>
      <c r="C132" s="297"/>
      <c r="D132" s="297"/>
      <c r="E132" s="231"/>
      <c r="F132" s="306"/>
      <c r="G132" s="170"/>
      <c r="H132" s="369"/>
      <c r="I132" s="414"/>
      <c r="J132" s="115"/>
      <c r="K132" s="97"/>
      <c r="L132" s="115"/>
      <c r="M132" s="310" t="s">
        <v>255</v>
      </c>
      <c r="N132" s="170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spans="1:31" ht="15.75" customHeight="1">
      <c r="A133" s="418"/>
      <c r="B133" s="410"/>
      <c r="C133" s="297"/>
      <c r="D133" s="297"/>
      <c r="E133" s="143" t="s">
        <v>208</v>
      </c>
      <c r="F133" s="298" t="s">
        <v>209</v>
      </c>
      <c r="G133" s="419">
        <v>600</v>
      </c>
      <c r="H133" s="420">
        <f>G133/$G$129</f>
        <v>5.905511811023622E-2</v>
      </c>
      <c r="I133" s="335">
        <v>1300</v>
      </c>
      <c r="J133" s="421">
        <f>I133/$I$129</f>
        <v>9.154929577464789E-2</v>
      </c>
      <c r="K133" s="422">
        <f>I133-G133</f>
        <v>700</v>
      </c>
      <c r="L133" s="421">
        <f>G133/I133</f>
        <v>0.46153846153846156</v>
      </c>
      <c r="M133" s="310" t="s">
        <v>256</v>
      </c>
      <c r="N133" s="423"/>
      <c r="O133" s="3"/>
      <c r="P133" s="424"/>
      <c r="Q133" s="424"/>
      <c r="R133" s="424"/>
      <c r="S133" s="424"/>
      <c r="T133" s="424"/>
      <c r="U133" s="424"/>
      <c r="V133" s="424"/>
      <c r="W133" s="424"/>
      <c r="X133" s="424"/>
      <c r="Y133" s="424"/>
      <c r="Z133" s="424"/>
      <c r="AA133" s="424"/>
      <c r="AB133" s="424"/>
      <c r="AC133" s="424"/>
      <c r="AD133" s="424"/>
      <c r="AE133" s="424"/>
    </row>
    <row r="134" spans="1:31" ht="15.75" customHeight="1">
      <c r="A134" s="417"/>
      <c r="B134" s="410"/>
      <c r="C134" s="297"/>
      <c r="D134" s="297"/>
      <c r="E134" s="231"/>
      <c r="F134" s="306"/>
      <c r="G134" s="170"/>
      <c r="H134" s="369"/>
      <c r="I134" s="414"/>
      <c r="J134" s="115"/>
      <c r="K134" s="97"/>
      <c r="L134" s="115"/>
      <c r="M134" s="310" t="s">
        <v>257</v>
      </c>
      <c r="N134" s="170"/>
      <c r="O134" s="3" t="s">
        <v>258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spans="1:31" ht="15.75" customHeight="1">
      <c r="A135" s="417"/>
      <c r="B135" s="410"/>
      <c r="C135" s="297"/>
      <c r="D135" s="297"/>
      <c r="E135" s="425" t="s">
        <v>170</v>
      </c>
      <c r="F135" s="426" t="s">
        <v>175</v>
      </c>
      <c r="G135" s="384">
        <v>8800</v>
      </c>
      <c r="H135" s="420">
        <f>G135/$G$129</f>
        <v>0.86614173228346458</v>
      </c>
      <c r="I135" s="348">
        <v>8800</v>
      </c>
      <c r="J135" s="302">
        <f>I135/$I$129</f>
        <v>0.61971830985915488</v>
      </c>
      <c r="K135" s="427">
        <f>I135-G135</f>
        <v>0</v>
      </c>
      <c r="L135" s="428">
        <f>G135/I135</f>
        <v>1</v>
      </c>
      <c r="M135" s="303" t="s">
        <v>259</v>
      </c>
      <c r="N135" s="170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spans="1:31" ht="15.75" customHeight="1">
      <c r="A136" s="417"/>
      <c r="B136" s="410"/>
      <c r="C136" s="297"/>
      <c r="D136" s="297"/>
      <c r="E136" s="231"/>
      <c r="F136" s="306"/>
      <c r="G136" s="170"/>
      <c r="H136" s="369"/>
      <c r="I136" s="350"/>
      <c r="J136" s="302"/>
      <c r="K136" s="301"/>
      <c r="L136" s="302"/>
      <c r="M136" s="303" t="s">
        <v>260</v>
      </c>
      <c r="N136" s="170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spans="1:31" ht="15.75" customHeight="1">
      <c r="A137" s="418"/>
      <c r="B137" s="410"/>
      <c r="C137" s="297"/>
      <c r="D137" s="297"/>
      <c r="E137" s="143" t="s">
        <v>143</v>
      </c>
      <c r="F137" s="298" t="s">
        <v>144</v>
      </c>
      <c r="G137" s="423">
        <v>0</v>
      </c>
      <c r="H137" s="420">
        <f t="shared" ref="H137:H138" si="53">G137/$G$129</f>
        <v>0</v>
      </c>
      <c r="I137" s="348">
        <v>400</v>
      </c>
      <c r="J137" s="428">
        <f t="shared" ref="J137:J138" si="54">I137/$I$129</f>
        <v>2.8169014084507043E-2</v>
      </c>
      <c r="K137" s="427">
        <f t="shared" ref="K137:K138" si="55">I137-G137</f>
        <v>400</v>
      </c>
      <c r="L137" s="428">
        <f t="shared" ref="L137:L143" si="56">G137/I137</f>
        <v>0</v>
      </c>
      <c r="M137" s="303" t="s">
        <v>261</v>
      </c>
      <c r="N137" s="423"/>
      <c r="O137" s="3" t="s">
        <v>262</v>
      </c>
      <c r="P137" s="424"/>
      <c r="Q137" s="424"/>
      <c r="R137" s="424"/>
      <c r="S137" s="424"/>
      <c r="T137" s="424"/>
      <c r="U137" s="424"/>
      <c r="V137" s="424"/>
      <c r="W137" s="424"/>
      <c r="X137" s="424"/>
      <c r="Y137" s="424"/>
      <c r="Z137" s="424"/>
      <c r="AA137" s="424"/>
      <c r="AB137" s="424"/>
      <c r="AC137" s="424"/>
      <c r="AD137" s="424"/>
      <c r="AE137" s="424"/>
    </row>
    <row r="138" spans="1:31" ht="15.75" customHeight="1">
      <c r="A138" s="147"/>
      <c r="B138" s="410"/>
      <c r="C138" s="297"/>
      <c r="D138" s="297"/>
      <c r="E138" s="143" t="s">
        <v>149</v>
      </c>
      <c r="F138" s="298" t="s">
        <v>150</v>
      </c>
      <c r="G138" s="170">
        <v>0</v>
      </c>
      <c r="H138" s="420">
        <f t="shared" si="53"/>
        <v>0</v>
      </c>
      <c r="I138" s="335">
        <v>500</v>
      </c>
      <c r="J138" s="115">
        <f t="shared" si="54"/>
        <v>3.5211267605633804E-2</v>
      </c>
      <c r="K138" s="422">
        <f t="shared" si="55"/>
        <v>500</v>
      </c>
      <c r="L138" s="421">
        <f t="shared" si="56"/>
        <v>0</v>
      </c>
      <c r="M138" s="310" t="s">
        <v>263</v>
      </c>
      <c r="N138" s="170"/>
      <c r="O138" s="3" t="s">
        <v>264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spans="1:31" ht="15.75" customHeight="1">
      <c r="A139" s="147"/>
      <c r="B139" s="316"/>
      <c r="C139" s="316" t="s">
        <v>52</v>
      </c>
      <c r="D139" s="316" t="s">
        <v>46</v>
      </c>
      <c r="E139" s="385"/>
      <c r="F139" s="294" t="s">
        <v>66</v>
      </c>
      <c r="G139" s="333">
        <f>SUM(G140,G142)</f>
        <v>22400</v>
      </c>
      <c r="H139" s="293">
        <f>G139/G80</f>
        <v>0.19217900101237154</v>
      </c>
      <c r="I139" s="332">
        <f>SUM(I140,I142)</f>
        <v>29900</v>
      </c>
      <c r="J139" s="293">
        <f>I139/$I$80</f>
        <v>0.17631900176319001</v>
      </c>
      <c r="K139" s="313">
        <f>K140+K142+K146</f>
        <v>7500</v>
      </c>
      <c r="L139" s="293">
        <f t="shared" si="56"/>
        <v>0.74916387959866215</v>
      </c>
      <c r="M139" s="294"/>
      <c r="N139" s="321"/>
      <c r="O139" s="322"/>
      <c r="P139" s="322"/>
      <c r="Q139" s="322"/>
      <c r="R139" s="322"/>
      <c r="S139" s="322"/>
      <c r="T139" s="322"/>
      <c r="U139" s="322"/>
      <c r="V139" s="322"/>
      <c r="W139" s="322"/>
      <c r="X139" s="322"/>
      <c r="Y139" s="322"/>
      <c r="Z139" s="322"/>
      <c r="AA139" s="322"/>
      <c r="AB139" s="322"/>
      <c r="AC139" s="322"/>
      <c r="AD139" s="322"/>
      <c r="AE139" s="322"/>
    </row>
    <row r="140" spans="1:31" ht="15.75" customHeight="1">
      <c r="A140" s="429"/>
      <c r="B140" s="430"/>
      <c r="C140" s="430"/>
      <c r="D140" s="430" t="s">
        <v>45</v>
      </c>
      <c r="E140" s="431"/>
      <c r="F140" s="397" t="s">
        <v>47</v>
      </c>
      <c r="G140" s="409">
        <f>G141</f>
        <v>2000</v>
      </c>
      <c r="H140" s="408">
        <f>G140/$G$139</f>
        <v>8.9285714285714288E-2</v>
      </c>
      <c r="I140" s="432">
        <f>I141</f>
        <v>3000</v>
      </c>
      <c r="J140" s="401">
        <f>I140/$I$139</f>
        <v>0.10033444816053512</v>
      </c>
      <c r="K140" s="409">
        <f>K141</f>
        <v>1000</v>
      </c>
      <c r="L140" s="401">
        <f t="shared" si="56"/>
        <v>0.66666666666666663</v>
      </c>
      <c r="M140" s="433"/>
      <c r="N140" s="403"/>
      <c r="O140" s="404"/>
      <c r="P140" s="404"/>
      <c r="Q140" s="404"/>
      <c r="R140" s="404"/>
      <c r="S140" s="404"/>
      <c r="T140" s="404"/>
      <c r="U140" s="404"/>
      <c r="V140" s="404"/>
      <c r="W140" s="404"/>
      <c r="X140" s="404"/>
      <c r="Y140" s="404"/>
      <c r="Z140" s="404"/>
      <c r="AA140" s="404"/>
      <c r="AB140" s="404"/>
      <c r="AC140" s="404"/>
      <c r="AD140" s="404"/>
      <c r="AE140" s="404"/>
    </row>
    <row r="141" spans="1:31" ht="15.75" customHeight="1">
      <c r="A141" s="417"/>
      <c r="B141" s="434"/>
      <c r="C141" s="434"/>
      <c r="D141" s="434"/>
      <c r="E141" s="143" t="s">
        <v>134</v>
      </c>
      <c r="F141" s="3" t="s">
        <v>135</v>
      </c>
      <c r="G141" s="384">
        <v>2000</v>
      </c>
      <c r="H141" s="369">
        <f>G141/G140</f>
        <v>1</v>
      </c>
      <c r="I141" s="97">
        <v>3000</v>
      </c>
      <c r="J141" s="115">
        <f>I141/I140</f>
        <v>1</v>
      </c>
      <c r="K141" s="97">
        <f>I141-G141</f>
        <v>1000</v>
      </c>
      <c r="L141" s="115">
        <f t="shared" si="56"/>
        <v>0.66666666666666663</v>
      </c>
      <c r="M141" s="435" t="s">
        <v>169</v>
      </c>
      <c r="N141" s="170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spans="1:31" ht="15.75" customHeight="1">
      <c r="A142" s="417"/>
      <c r="B142" s="405"/>
      <c r="C142" s="405"/>
      <c r="D142" s="395" t="s">
        <v>48</v>
      </c>
      <c r="E142" s="406"/>
      <c r="F142" s="407" t="s">
        <v>67</v>
      </c>
      <c r="G142" s="409">
        <f>SUM(G143:G150)</f>
        <v>20400</v>
      </c>
      <c r="H142" s="408">
        <f>G142/$G$139</f>
        <v>0.9107142857142857</v>
      </c>
      <c r="I142" s="409">
        <f>SUM(I143:I150)</f>
        <v>26900</v>
      </c>
      <c r="J142" s="408">
        <f>I142/$I$139</f>
        <v>0.89966555183946484</v>
      </c>
      <c r="K142" s="409">
        <f>SUM(K143:K144)</f>
        <v>0</v>
      </c>
      <c r="L142" s="401">
        <f t="shared" si="56"/>
        <v>0.75836431226765799</v>
      </c>
      <c r="M142" s="397"/>
      <c r="N142" s="403"/>
      <c r="O142" s="404"/>
      <c r="P142" s="404"/>
      <c r="Q142" s="404"/>
      <c r="R142" s="404"/>
      <c r="S142" s="404"/>
      <c r="T142" s="404"/>
      <c r="U142" s="404"/>
      <c r="V142" s="404"/>
      <c r="W142" s="404"/>
      <c r="X142" s="404"/>
      <c r="Y142" s="404"/>
      <c r="Z142" s="404"/>
      <c r="AA142" s="404"/>
      <c r="AB142" s="404"/>
      <c r="AC142" s="404"/>
      <c r="AD142" s="404"/>
      <c r="AE142" s="404"/>
    </row>
    <row r="143" spans="1:31" ht="15.75" customHeight="1">
      <c r="A143" s="436"/>
      <c r="B143" s="297"/>
      <c r="C143" s="297"/>
      <c r="D143" s="231"/>
      <c r="E143" s="143" t="s">
        <v>128</v>
      </c>
      <c r="F143" s="3" t="s">
        <v>129</v>
      </c>
      <c r="G143" s="384">
        <v>4000</v>
      </c>
      <c r="H143" s="369">
        <f>G143/$G$142</f>
        <v>0.19607843137254902</v>
      </c>
      <c r="I143" s="97">
        <v>4000</v>
      </c>
      <c r="J143" s="115">
        <f>I143/$I$142</f>
        <v>0.14869888475836432</v>
      </c>
      <c r="K143" s="97">
        <f>I143-G143</f>
        <v>0</v>
      </c>
      <c r="L143" s="115">
        <f t="shared" si="56"/>
        <v>1</v>
      </c>
      <c r="M143" s="145" t="s">
        <v>265</v>
      </c>
      <c r="N143" s="170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spans="1:31" ht="15.75" customHeight="1">
      <c r="A144" s="436"/>
      <c r="B144" s="297"/>
      <c r="C144" s="297"/>
      <c r="D144" s="231"/>
      <c r="E144" s="231"/>
      <c r="F144" s="304"/>
      <c r="G144" s="170"/>
      <c r="H144" s="369"/>
      <c r="I144" s="314"/>
      <c r="J144" s="115"/>
      <c r="K144" s="97"/>
      <c r="L144" s="115"/>
      <c r="M144" s="145" t="s">
        <v>266</v>
      </c>
      <c r="N144" s="170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spans="1:31" ht="15.75" customHeight="1">
      <c r="A145" s="436"/>
      <c r="B145" s="297"/>
      <c r="C145" s="297"/>
      <c r="D145" s="231"/>
      <c r="E145" s="231"/>
      <c r="F145" s="304"/>
      <c r="G145" s="264"/>
      <c r="H145" s="115"/>
      <c r="I145" s="314"/>
      <c r="J145" s="276"/>
      <c r="K145" s="110"/>
      <c r="L145" s="276"/>
      <c r="M145" s="145" t="s">
        <v>267</v>
      </c>
      <c r="N145" s="170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spans="1:31" ht="15.75" customHeight="1">
      <c r="A146" s="437"/>
      <c r="B146" s="297"/>
      <c r="C146" s="297"/>
      <c r="D146" s="297"/>
      <c r="E146" s="143" t="s">
        <v>224</v>
      </c>
      <c r="F146" s="3" t="s">
        <v>225</v>
      </c>
      <c r="G146" s="438">
        <v>8000</v>
      </c>
      <c r="H146" s="369">
        <f t="shared" ref="H146:H150" si="57">G146/$G$142</f>
        <v>0.39215686274509803</v>
      </c>
      <c r="I146" s="97">
        <v>8000</v>
      </c>
      <c r="J146" s="115">
        <f t="shared" ref="J146:J150" si="58">I146/$I$142</f>
        <v>0.29739776951672864</v>
      </c>
      <c r="K146" s="97">
        <f>SUM(K147:K150)</f>
        <v>6500</v>
      </c>
      <c r="L146" s="115">
        <f t="shared" ref="L146:L156" si="59">G146/I146</f>
        <v>1</v>
      </c>
      <c r="M146" s="145" t="s">
        <v>268</v>
      </c>
      <c r="N146" s="170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spans="1:31" ht="15.75" customHeight="1">
      <c r="A147" s="437"/>
      <c r="B147" s="297"/>
      <c r="C147" s="297"/>
      <c r="D147" s="297"/>
      <c r="E147" s="143" t="s">
        <v>138</v>
      </c>
      <c r="F147" s="3" t="s">
        <v>139</v>
      </c>
      <c r="G147" s="438">
        <v>2400</v>
      </c>
      <c r="H147" s="369">
        <f t="shared" si="57"/>
        <v>0.11764705882352941</v>
      </c>
      <c r="I147" s="97">
        <v>4000</v>
      </c>
      <c r="J147" s="115">
        <f t="shared" si="58"/>
        <v>0.14869888475836432</v>
      </c>
      <c r="K147" s="97">
        <f t="shared" ref="K147:K151" si="60">I147-G147</f>
        <v>1600</v>
      </c>
      <c r="L147" s="115">
        <f t="shared" si="59"/>
        <v>0.6</v>
      </c>
      <c r="M147" s="145" t="s">
        <v>269</v>
      </c>
      <c r="N147" s="170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spans="1:31" ht="15.75" customHeight="1">
      <c r="A148" s="437"/>
      <c r="B148" s="297"/>
      <c r="C148" s="297"/>
      <c r="D148" s="231"/>
      <c r="E148" s="143" t="s">
        <v>143</v>
      </c>
      <c r="F148" s="3" t="s">
        <v>144</v>
      </c>
      <c r="G148" s="439">
        <v>0</v>
      </c>
      <c r="H148" s="369">
        <f t="shared" si="57"/>
        <v>0</v>
      </c>
      <c r="I148" s="97">
        <v>600</v>
      </c>
      <c r="J148" s="115">
        <f t="shared" si="58"/>
        <v>2.2304832713754646E-2</v>
      </c>
      <c r="K148" s="97">
        <f t="shared" si="60"/>
        <v>600</v>
      </c>
      <c r="L148" s="115">
        <f t="shared" si="59"/>
        <v>0</v>
      </c>
      <c r="M148" s="310" t="s">
        <v>270</v>
      </c>
      <c r="N148" s="170"/>
      <c r="O148" s="3" t="s">
        <v>271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spans="1:31" ht="15.75" customHeight="1">
      <c r="A149" s="437"/>
      <c r="B149" s="297"/>
      <c r="C149" s="297"/>
      <c r="D149" s="297"/>
      <c r="E149" s="143" t="s">
        <v>174</v>
      </c>
      <c r="F149" s="3" t="s">
        <v>175</v>
      </c>
      <c r="G149" s="438">
        <v>6000</v>
      </c>
      <c r="H149" s="369">
        <f t="shared" si="57"/>
        <v>0.29411764705882354</v>
      </c>
      <c r="I149" s="97">
        <v>9800</v>
      </c>
      <c r="J149" s="115">
        <f t="shared" si="58"/>
        <v>0.36431226765799257</v>
      </c>
      <c r="K149" s="97">
        <f t="shared" si="60"/>
        <v>3800</v>
      </c>
      <c r="L149" s="115">
        <f t="shared" si="59"/>
        <v>0.61224489795918369</v>
      </c>
      <c r="M149" s="310" t="s">
        <v>272</v>
      </c>
      <c r="N149" s="170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spans="1:31" ht="15.75" customHeight="1">
      <c r="A150" s="437"/>
      <c r="B150" s="297"/>
      <c r="C150" s="297"/>
      <c r="D150" s="231"/>
      <c r="E150" s="143" t="s">
        <v>149</v>
      </c>
      <c r="F150" s="3" t="s">
        <v>150</v>
      </c>
      <c r="G150" s="438">
        <v>0</v>
      </c>
      <c r="H150" s="369">
        <f t="shared" si="57"/>
        <v>0</v>
      </c>
      <c r="I150" s="97">
        <v>500</v>
      </c>
      <c r="J150" s="115">
        <f t="shared" si="58"/>
        <v>1.858736059479554E-2</v>
      </c>
      <c r="K150" s="97">
        <f t="shared" si="60"/>
        <v>500</v>
      </c>
      <c r="L150" s="115">
        <f t="shared" si="59"/>
        <v>0</v>
      </c>
      <c r="M150" s="310" t="s">
        <v>273</v>
      </c>
      <c r="N150" s="170"/>
      <c r="O150" s="3" t="s">
        <v>274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spans="1:31" ht="15.75" customHeight="1">
      <c r="A151" s="440"/>
      <c r="B151" s="316"/>
      <c r="C151" s="316" t="s">
        <v>53</v>
      </c>
      <c r="D151" s="316" t="s">
        <v>46</v>
      </c>
      <c r="E151" s="385"/>
      <c r="F151" s="294" t="s">
        <v>68</v>
      </c>
      <c r="G151" s="333">
        <f>SUM(G152,G154,G160,G165,G169)</f>
        <v>33100</v>
      </c>
      <c r="H151" s="293">
        <f>G151/G80</f>
        <v>0.28397879167453116</v>
      </c>
      <c r="I151" s="332">
        <f>SUM(I152,I154,I160,I165,I169)</f>
        <v>40400</v>
      </c>
      <c r="J151" s="293">
        <f>I151/$I$80</f>
        <v>0.23823704586063132</v>
      </c>
      <c r="K151" s="333">
        <f t="shared" si="60"/>
        <v>7300</v>
      </c>
      <c r="L151" s="441">
        <f t="shared" si="59"/>
        <v>0.81930693069306926</v>
      </c>
      <c r="M151" s="599"/>
      <c r="N151" s="569"/>
      <c r="O151" s="442"/>
      <c r="P151" s="443"/>
      <c r="Q151" s="443"/>
      <c r="R151" s="443"/>
      <c r="S151" s="443"/>
      <c r="T151" s="443"/>
      <c r="U151" s="443"/>
      <c r="V151" s="443"/>
      <c r="W151" s="443"/>
      <c r="X151" s="443"/>
      <c r="Y151" s="443"/>
      <c r="Z151" s="443"/>
      <c r="AA151" s="443"/>
      <c r="AB151" s="443"/>
      <c r="AC151" s="443"/>
      <c r="AD151" s="443"/>
      <c r="AE151" s="443"/>
    </row>
    <row r="152" spans="1:31" ht="15.75" customHeight="1">
      <c r="A152" s="429"/>
      <c r="B152" s="395"/>
      <c r="C152" s="395"/>
      <c r="D152" s="395" t="s">
        <v>45</v>
      </c>
      <c r="E152" s="396"/>
      <c r="F152" s="397" t="s">
        <v>47</v>
      </c>
      <c r="G152" s="398">
        <f>G153</f>
        <v>3000</v>
      </c>
      <c r="H152" s="399">
        <f>G152/$G$151</f>
        <v>9.0634441087613288E-2</v>
      </c>
      <c r="I152" s="398">
        <f>I153</f>
        <v>3000</v>
      </c>
      <c r="J152" s="408">
        <f>I152/$I$151</f>
        <v>7.4257425742574254E-2</v>
      </c>
      <c r="K152" s="402">
        <f>K153</f>
        <v>0</v>
      </c>
      <c r="L152" s="401">
        <f t="shared" si="59"/>
        <v>1</v>
      </c>
      <c r="M152" s="416"/>
      <c r="N152" s="403"/>
      <c r="O152" s="404"/>
      <c r="P152" s="404"/>
      <c r="Q152" s="404"/>
      <c r="R152" s="404"/>
      <c r="S152" s="404"/>
      <c r="T152" s="404"/>
      <c r="U152" s="404"/>
      <c r="V152" s="404"/>
      <c r="W152" s="404"/>
      <c r="X152" s="404"/>
      <c r="Y152" s="404"/>
      <c r="Z152" s="404"/>
      <c r="AA152" s="404"/>
      <c r="AB152" s="404"/>
      <c r="AC152" s="404"/>
      <c r="AD152" s="404"/>
      <c r="AE152" s="404"/>
    </row>
    <row r="153" spans="1:31" ht="15.75" customHeight="1">
      <c r="A153" s="444"/>
      <c r="B153" s="445"/>
      <c r="C153" s="445"/>
      <c r="D153" s="445"/>
      <c r="E153" s="446" t="s">
        <v>134</v>
      </c>
      <c r="F153" s="447" t="s">
        <v>135</v>
      </c>
      <c r="G153" s="448">
        <v>3000</v>
      </c>
      <c r="H153" s="449">
        <f>G153/G152</f>
        <v>1</v>
      </c>
      <c r="I153" s="450">
        <v>3000</v>
      </c>
      <c r="J153" s="451">
        <f>I153/I152</f>
        <v>1</v>
      </c>
      <c r="K153" s="97">
        <f>I153-G153</f>
        <v>0</v>
      </c>
      <c r="L153" s="115">
        <f t="shared" si="59"/>
        <v>1</v>
      </c>
      <c r="M153" s="310" t="s">
        <v>169</v>
      </c>
      <c r="N153" s="452"/>
      <c r="O153" s="424"/>
      <c r="P153" s="424"/>
      <c r="Q153" s="424"/>
      <c r="R153" s="424"/>
      <c r="S153" s="424"/>
      <c r="T153" s="424"/>
      <c r="U153" s="424"/>
      <c r="V153" s="424"/>
      <c r="W153" s="424"/>
      <c r="X153" s="424"/>
      <c r="Y153" s="424"/>
      <c r="Z153" s="424"/>
      <c r="AA153" s="424"/>
      <c r="AB153" s="424"/>
      <c r="AC153" s="424"/>
      <c r="AD153" s="424"/>
      <c r="AE153" s="424"/>
    </row>
    <row r="154" spans="1:31" ht="15.75" customHeight="1">
      <c r="A154" s="417"/>
      <c r="B154" s="405"/>
      <c r="C154" s="405"/>
      <c r="D154" s="395" t="s">
        <v>48</v>
      </c>
      <c r="E154" s="406"/>
      <c r="F154" s="407" t="s">
        <v>69</v>
      </c>
      <c r="G154" s="398">
        <f>SUM(G155:G159)</f>
        <v>4200</v>
      </c>
      <c r="H154" s="399">
        <f>G154/$G$151</f>
        <v>0.12688821752265861</v>
      </c>
      <c r="I154" s="398">
        <f>SUM(I155:I159)</f>
        <v>5400</v>
      </c>
      <c r="J154" s="408">
        <f>I154/$I$151</f>
        <v>0.13366336633663367</v>
      </c>
      <c r="K154" s="409">
        <f>SUM(K155:K156)</f>
        <v>0</v>
      </c>
      <c r="L154" s="401">
        <f t="shared" si="59"/>
        <v>0.77777777777777779</v>
      </c>
      <c r="M154" s="416"/>
      <c r="N154" s="403"/>
      <c r="O154" s="404"/>
      <c r="P154" s="404"/>
      <c r="Q154" s="404"/>
      <c r="R154" s="404"/>
      <c r="S154" s="404"/>
      <c r="T154" s="404"/>
      <c r="U154" s="404"/>
      <c r="V154" s="404"/>
      <c r="W154" s="404"/>
      <c r="X154" s="404"/>
      <c r="Y154" s="404"/>
      <c r="Z154" s="404"/>
      <c r="AA154" s="404"/>
      <c r="AB154" s="404"/>
      <c r="AC154" s="404"/>
      <c r="AD154" s="404"/>
      <c r="AE154" s="404"/>
    </row>
    <row r="155" spans="1:31" ht="15.75" customHeight="1">
      <c r="A155" s="147"/>
      <c r="B155" s="297"/>
      <c r="C155" s="297"/>
      <c r="D155" s="297"/>
      <c r="E155" s="143" t="s">
        <v>128</v>
      </c>
      <c r="F155" s="3" t="s">
        <v>129</v>
      </c>
      <c r="G155" s="384">
        <v>3200</v>
      </c>
      <c r="H155" s="369">
        <f t="shared" ref="H155:H156" si="61">G155/$G$154</f>
        <v>0.76190476190476186</v>
      </c>
      <c r="I155" s="97">
        <v>3200</v>
      </c>
      <c r="J155" s="115">
        <f t="shared" ref="J155:J156" si="62">I155/$I$154</f>
        <v>0.59259259259259256</v>
      </c>
      <c r="K155" s="97">
        <f t="shared" ref="K155:K156" si="63">I155-G155</f>
        <v>0</v>
      </c>
      <c r="L155" s="115">
        <f t="shared" si="59"/>
        <v>1</v>
      </c>
      <c r="M155" s="453" t="s">
        <v>275</v>
      </c>
      <c r="N155" s="170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spans="1:31" ht="15.75" customHeight="1">
      <c r="A156" s="147"/>
      <c r="B156" s="297"/>
      <c r="C156" s="297"/>
      <c r="D156" s="297"/>
      <c r="E156" s="143" t="s">
        <v>208</v>
      </c>
      <c r="F156" s="3" t="s">
        <v>209</v>
      </c>
      <c r="G156" s="384">
        <v>1000</v>
      </c>
      <c r="H156" s="369">
        <f t="shared" si="61"/>
        <v>0.23809523809523808</v>
      </c>
      <c r="I156" s="97">
        <v>1000</v>
      </c>
      <c r="J156" s="115">
        <f t="shared" si="62"/>
        <v>0.18518518518518517</v>
      </c>
      <c r="K156" s="97">
        <f t="shared" si="63"/>
        <v>0</v>
      </c>
      <c r="L156" s="115">
        <f t="shared" si="59"/>
        <v>1</v>
      </c>
      <c r="M156" s="453" t="s">
        <v>276</v>
      </c>
      <c r="N156" s="170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spans="1:31" ht="15.75" customHeight="1">
      <c r="A157" s="147"/>
      <c r="B157" s="297"/>
      <c r="C157" s="297"/>
      <c r="D157" s="297"/>
      <c r="E157" s="231"/>
      <c r="F157" s="304"/>
      <c r="G157" s="170"/>
      <c r="H157" s="369"/>
      <c r="I157" s="314"/>
      <c r="J157" s="115"/>
      <c r="K157" s="377"/>
      <c r="L157" s="369"/>
      <c r="M157" s="453" t="s">
        <v>277</v>
      </c>
      <c r="N157" s="170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spans="1:31" ht="15.75" customHeight="1">
      <c r="A158" s="147"/>
      <c r="B158" s="297"/>
      <c r="C158" s="297"/>
      <c r="D158" s="297"/>
      <c r="E158" s="143" t="s">
        <v>174</v>
      </c>
      <c r="F158" s="3" t="s">
        <v>175</v>
      </c>
      <c r="G158" s="170">
        <v>0</v>
      </c>
      <c r="H158" s="369">
        <f t="shared" ref="H158:H159" si="64">G158/$G$154</f>
        <v>0</v>
      </c>
      <c r="I158" s="97">
        <v>700</v>
      </c>
      <c r="J158" s="115">
        <f t="shared" ref="J158:J159" si="65">I158/$I$154</f>
        <v>0.12962962962962962</v>
      </c>
      <c r="K158" s="97">
        <f t="shared" ref="K158:K159" si="66">I158-G158</f>
        <v>700</v>
      </c>
      <c r="L158" s="115">
        <f t="shared" ref="L158:L162" si="67">G158/I158</f>
        <v>0</v>
      </c>
      <c r="M158" s="453" t="s">
        <v>278</v>
      </c>
      <c r="N158" s="307"/>
      <c r="O158" s="3" t="s">
        <v>279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spans="1:31" ht="15.75" customHeight="1">
      <c r="A159" s="147"/>
      <c r="B159" s="297"/>
      <c r="C159" s="297"/>
      <c r="D159" s="297"/>
      <c r="E159" s="143" t="s">
        <v>149</v>
      </c>
      <c r="F159" s="3" t="s">
        <v>150</v>
      </c>
      <c r="G159" s="170">
        <v>0</v>
      </c>
      <c r="H159" s="369">
        <f t="shared" si="64"/>
        <v>0</v>
      </c>
      <c r="I159" s="97">
        <v>500</v>
      </c>
      <c r="J159" s="115">
        <f t="shared" si="65"/>
        <v>9.2592592592592587E-2</v>
      </c>
      <c r="K159" s="97">
        <f t="shared" si="66"/>
        <v>500</v>
      </c>
      <c r="L159" s="115">
        <f t="shared" si="67"/>
        <v>0</v>
      </c>
      <c r="M159" s="453" t="s">
        <v>273</v>
      </c>
      <c r="N159" s="307"/>
      <c r="O159" s="3" t="s">
        <v>280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spans="1:31" ht="15.75" customHeight="1">
      <c r="A160" s="417"/>
      <c r="B160" s="405"/>
      <c r="C160" s="405"/>
      <c r="D160" s="395" t="s">
        <v>52</v>
      </c>
      <c r="E160" s="406"/>
      <c r="F160" s="407" t="s">
        <v>70</v>
      </c>
      <c r="G160" s="398">
        <f>SUM(G161:G164)</f>
        <v>0</v>
      </c>
      <c r="H160" s="399">
        <f>G160/$G$151</f>
        <v>0</v>
      </c>
      <c r="I160" s="398">
        <f>SUM(I161:I164)</f>
        <v>6100</v>
      </c>
      <c r="J160" s="408">
        <f>I160/$I$151</f>
        <v>0.15099009900990099</v>
      </c>
      <c r="K160" s="398">
        <f>SUM(K161:K164)</f>
        <v>6100</v>
      </c>
      <c r="L160" s="401">
        <f t="shared" si="67"/>
        <v>0</v>
      </c>
      <c r="M160" s="416"/>
      <c r="N160" s="403"/>
      <c r="O160" s="403"/>
      <c r="P160" s="404"/>
      <c r="Q160" s="404"/>
      <c r="R160" s="404"/>
      <c r="S160" s="404"/>
      <c r="T160" s="404"/>
      <c r="U160" s="404"/>
      <c r="V160" s="404"/>
      <c r="W160" s="404"/>
      <c r="X160" s="404"/>
      <c r="Y160" s="404"/>
      <c r="Z160" s="404"/>
      <c r="AA160" s="404"/>
      <c r="AB160" s="404"/>
      <c r="AC160" s="404"/>
      <c r="AD160" s="404"/>
      <c r="AE160" s="404"/>
    </row>
    <row r="161" spans="1:31" ht="15.75" customHeight="1">
      <c r="A161" s="147"/>
      <c r="B161" s="297"/>
      <c r="C161" s="297"/>
      <c r="D161" s="297"/>
      <c r="E161" s="146" t="s">
        <v>128</v>
      </c>
      <c r="F161" s="3" t="s">
        <v>129</v>
      </c>
      <c r="G161" s="170">
        <v>0</v>
      </c>
      <c r="H161" s="369">
        <v>0</v>
      </c>
      <c r="I161" s="97">
        <v>1600</v>
      </c>
      <c r="J161" s="115">
        <f t="shared" ref="J161:J162" si="68">I161/$I$160</f>
        <v>0.26229508196721313</v>
      </c>
      <c r="K161" s="97">
        <f t="shared" ref="K161:K162" si="69">I161-G161</f>
        <v>1600</v>
      </c>
      <c r="L161" s="115">
        <f t="shared" si="67"/>
        <v>0</v>
      </c>
      <c r="M161" s="453" t="s">
        <v>281</v>
      </c>
      <c r="N161" s="307"/>
      <c r="O161" s="3" t="s">
        <v>282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spans="1:31" ht="15.75" customHeight="1">
      <c r="A162" s="147"/>
      <c r="B162" s="297"/>
      <c r="C162" s="297"/>
      <c r="D162" s="297"/>
      <c r="E162" s="146" t="s">
        <v>208</v>
      </c>
      <c r="F162" s="3" t="s">
        <v>209</v>
      </c>
      <c r="G162" s="170">
        <v>0</v>
      </c>
      <c r="H162" s="369">
        <v>0</v>
      </c>
      <c r="I162" s="97">
        <v>1000</v>
      </c>
      <c r="J162" s="115">
        <f t="shared" si="68"/>
        <v>0.16393442622950818</v>
      </c>
      <c r="K162" s="97">
        <f t="shared" si="69"/>
        <v>1000</v>
      </c>
      <c r="L162" s="115">
        <f t="shared" si="67"/>
        <v>0</v>
      </c>
      <c r="M162" s="453" t="s">
        <v>283</v>
      </c>
      <c r="N162" s="307"/>
      <c r="O162" s="3" t="s">
        <v>284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spans="1:31" ht="15.75" customHeight="1">
      <c r="A163" s="147"/>
      <c r="B163" s="297"/>
      <c r="C163" s="297"/>
      <c r="D163" s="297"/>
      <c r="E163" s="231"/>
      <c r="F163" s="304"/>
      <c r="G163" s="170"/>
      <c r="H163" s="369"/>
      <c r="I163" s="314"/>
      <c r="J163" s="115"/>
      <c r="K163" s="377"/>
      <c r="L163" s="369"/>
      <c r="M163" s="453" t="s">
        <v>285</v>
      </c>
      <c r="N163" s="307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spans="1:31" ht="15.75" customHeight="1">
      <c r="A164" s="147"/>
      <c r="B164" s="297"/>
      <c r="C164" s="297"/>
      <c r="D164" s="297"/>
      <c r="E164" s="143" t="s">
        <v>174</v>
      </c>
      <c r="F164" s="3" t="s">
        <v>175</v>
      </c>
      <c r="G164" s="170">
        <v>0</v>
      </c>
      <c r="H164" s="369">
        <v>0</v>
      </c>
      <c r="I164" s="97">
        <v>3500</v>
      </c>
      <c r="J164" s="115">
        <f>I164/$I$160</f>
        <v>0.57377049180327866</v>
      </c>
      <c r="K164" s="97">
        <f>I164-G164</f>
        <v>3500</v>
      </c>
      <c r="L164" s="115">
        <f t="shared" ref="L164:L167" si="70">G164/I164</f>
        <v>0</v>
      </c>
      <c r="M164" s="453" t="s">
        <v>286</v>
      </c>
      <c r="N164" s="307"/>
      <c r="O164" s="3" t="s">
        <v>279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spans="1:31" ht="15.75" customHeight="1">
      <c r="A165" s="417"/>
      <c r="B165" s="405"/>
      <c r="C165" s="405"/>
      <c r="D165" s="395" t="s">
        <v>53</v>
      </c>
      <c r="E165" s="406"/>
      <c r="F165" s="407" t="s">
        <v>71</v>
      </c>
      <c r="G165" s="398">
        <f>SUM(G166:G168)</f>
        <v>5600</v>
      </c>
      <c r="H165" s="399">
        <f>G165/$G$151</f>
        <v>0.16918429003021149</v>
      </c>
      <c r="I165" s="398">
        <f>SUM(I166:I168)</f>
        <v>5600</v>
      </c>
      <c r="J165" s="408">
        <f>I165/$I$151</f>
        <v>0.13861386138613863</v>
      </c>
      <c r="K165" s="398">
        <f>SUM(K166:K168)</f>
        <v>0</v>
      </c>
      <c r="L165" s="401">
        <f t="shared" si="70"/>
        <v>1</v>
      </c>
      <c r="M165" s="416"/>
      <c r="N165" s="403"/>
      <c r="O165" s="404"/>
      <c r="P165" s="404"/>
      <c r="Q165" s="404"/>
      <c r="R165" s="404"/>
      <c r="S165" s="404"/>
      <c r="T165" s="404"/>
      <c r="U165" s="404"/>
      <c r="V165" s="404"/>
      <c r="W165" s="404"/>
      <c r="X165" s="404"/>
      <c r="Y165" s="404"/>
      <c r="Z165" s="404"/>
      <c r="AA165" s="404"/>
      <c r="AB165" s="404"/>
      <c r="AC165" s="404"/>
      <c r="AD165" s="404"/>
      <c r="AE165" s="404"/>
    </row>
    <row r="166" spans="1:31" ht="15.75" customHeight="1">
      <c r="A166" s="147"/>
      <c r="B166" s="297"/>
      <c r="C166" s="297"/>
      <c r="D166" s="297"/>
      <c r="E166" s="146" t="s">
        <v>128</v>
      </c>
      <c r="F166" s="3" t="s">
        <v>129</v>
      </c>
      <c r="G166" s="384">
        <v>1400</v>
      </c>
      <c r="H166" s="369">
        <f t="shared" ref="H166:H167" si="71">G166/$G$165</f>
        <v>0.25</v>
      </c>
      <c r="I166" s="454">
        <v>1400</v>
      </c>
      <c r="J166" s="115">
        <f t="shared" ref="J166:J167" si="72">I166/$I$165</f>
        <v>0.25</v>
      </c>
      <c r="K166" s="97">
        <f t="shared" ref="K166:K167" si="73">I166-G166</f>
        <v>0</v>
      </c>
      <c r="L166" s="115">
        <f t="shared" si="70"/>
        <v>1</v>
      </c>
      <c r="M166" s="453" t="s">
        <v>287</v>
      </c>
      <c r="N166" s="170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spans="1:31" ht="15.75" customHeight="1">
      <c r="A167" s="147"/>
      <c r="B167" s="297"/>
      <c r="C167" s="297"/>
      <c r="D167" s="297"/>
      <c r="E167" s="146" t="s">
        <v>208</v>
      </c>
      <c r="F167" s="3" t="s">
        <v>209</v>
      </c>
      <c r="G167" s="384">
        <v>4200</v>
      </c>
      <c r="H167" s="369">
        <f t="shared" si="71"/>
        <v>0.75</v>
      </c>
      <c r="I167" s="97">
        <v>4200</v>
      </c>
      <c r="J167" s="115">
        <f t="shared" si="72"/>
        <v>0.75</v>
      </c>
      <c r="K167" s="97">
        <f t="shared" si="73"/>
        <v>0</v>
      </c>
      <c r="L167" s="115">
        <f t="shared" si="70"/>
        <v>1</v>
      </c>
      <c r="M167" s="453" t="s">
        <v>288</v>
      </c>
      <c r="N167" s="170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spans="1:31" ht="15.75" customHeight="1">
      <c r="A168" s="147"/>
      <c r="B168" s="297"/>
      <c r="C168" s="297"/>
      <c r="D168" s="297"/>
      <c r="E168" s="231"/>
      <c r="F168" s="304"/>
      <c r="G168" s="170"/>
      <c r="H168" s="369"/>
      <c r="I168" s="314"/>
      <c r="J168" s="115"/>
      <c r="K168" s="377"/>
      <c r="L168" s="369"/>
      <c r="M168" s="453" t="s">
        <v>289</v>
      </c>
      <c r="N168" s="170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spans="1:31" ht="15.75" customHeight="1">
      <c r="A169" s="417"/>
      <c r="B169" s="405"/>
      <c r="C169" s="405"/>
      <c r="D169" s="395" t="s">
        <v>55</v>
      </c>
      <c r="E169" s="406"/>
      <c r="F169" s="407" t="s">
        <v>72</v>
      </c>
      <c r="G169" s="398">
        <f>SUM(G170:G174)</f>
        <v>20300</v>
      </c>
      <c r="H169" s="399">
        <f>G169/$G$151</f>
        <v>0.61329305135951662</v>
      </c>
      <c r="I169" s="398">
        <f>SUM(I170:I174)</f>
        <v>20300</v>
      </c>
      <c r="J169" s="408">
        <f>I169/$I$151</f>
        <v>0.50247524752475248</v>
      </c>
      <c r="K169" s="398">
        <f>SUM(K170:K174)</f>
        <v>0</v>
      </c>
      <c r="L169" s="401">
        <f t="shared" ref="L169:L171" si="74">G169/I169</f>
        <v>1</v>
      </c>
      <c r="M169" s="416"/>
      <c r="N169" s="403"/>
      <c r="O169" s="404"/>
      <c r="P169" s="404"/>
      <c r="Q169" s="404"/>
      <c r="R169" s="404"/>
      <c r="S169" s="404"/>
      <c r="T169" s="404"/>
      <c r="U169" s="404"/>
      <c r="V169" s="404"/>
      <c r="W169" s="404"/>
      <c r="X169" s="404"/>
      <c r="Y169" s="404"/>
      <c r="Z169" s="404"/>
      <c r="AA169" s="404"/>
      <c r="AB169" s="404"/>
      <c r="AC169" s="404"/>
      <c r="AD169" s="404"/>
      <c r="AE169" s="404"/>
    </row>
    <row r="170" spans="1:31" ht="15.75" customHeight="1">
      <c r="A170" s="147"/>
      <c r="B170" s="410"/>
      <c r="C170" s="297"/>
      <c r="D170" s="297"/>
      <c r="E170" s="143" t="s">
        <v>128</v>
      </c>
      <c r="F170" s="298" t="s">
        <v>129</v>
      </c>
      <c r="G170" s="384">
        <v>2000</v>
      </c>
      <c r="H170" s="369">
        <f t="shared" ref="H170:H171" si="75">G170/$G$169</f>
        <v>9.8522167487684734E-2</v>
      </c>
      <c r="I170" s="335">
        <v>2000</v>
      </c>
      <c r="J170" s="115">
        <f t="shared" ref="J170:J171" si="76">I170/$I$169</f>
        <v>9.8522167487684734E-2</v>
      </c>
      <c r="K170" s="97">
        <f t="shared" ref="K170:K171" si="77">I170-G170</f>
        <v>0</v>
      </c>
      <c r="L170" s="115">
        <f t="shared" si="74"/>
        <v>1</v>
      </c>
      <c r="M170" s="310" t="s">
        <v>290</v>
      </c>
      <c r="N170" s="170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spans="1:31" ht="15.75" customHeight="1">
      <c r="A171" s="147"/>
      <c r="B171" s="410"/>
      <c r="C171" s="297"/>
      <c r="D171" s="297"/>
      <c r="E171" s="143" t="s">
        <v>208</v>
      </c>
      <c r="F171" s="298" t="s">
        <v>209</v>
      </c>
      <c r="G171" s="384">
        <v>1000</v>
      </c>
      <c r="H171" s="369">
        <f t="shared" si="75"/>
        <v>4.9261083743842367E-2</v>
      </c>
      <c r="I171" s="335">
        <v>1000</v>
      </c>
      <c r="J171" s="115">
        <f t="shared" si="76"/>
        <v>4.9261083743842367E-2</v>
      </c>
      <c r="K171" s="97">
        <f t="shared" si="77"/>
        <v>0</v>
      </c>
      <c r="L171" s="115">
        <f t="shared" si="74"/>
        <v>1</v>
      </c>
      <c r="M171" s="310" t="s">
        <v>291</v>
      </c>
      <c r="N171" s="170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spans="1:31" ht="15.75" customHeight="1">
      <c r="A172" s="147"/>
      <c r="B172" s="410"/>
      <c r="C172" s="297"/>
      <c r="D172" s="297"/>
      <c r="E172" s="231"/>
      <c r="F172" s="306"/>
      <c r="G172" s="170"/>
      <c r="H172" s="369"/>
      <c r="I172" s="414"/>
      <c r="J172" s="115"/>
      <c r="K172" s="377"/>
      <c r="L172" s="369"/>
      <c r="M172" s="310" t="s">
        <v>292</v>
      </c>
      <c r="N172" s="170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spans="1:31" ht="15.75" customHeight="1">
      <c r="A173" s="147"/>
      <c r="B173" s="410"/>
      <c r="C173" s="297"/>
      <c r="D173" s="297"/>
      <c r="E173" s="143" t="s">
        <v>224</v>
      </c>
      <c r="F173" s="298" t="s">
        <v>225</v>
      </c>
      <c r="G173" s="384">
        <v>16800</v>
      </c>
      <c r="H173" s="369">
        <f t="shared" ref="H173:H174" si="78">G173/$G$169</f>
        <v>0.82758620689655171</v>
      </c>
      <c r="I173" s="335">
        <v>16800</v>
      </c>
      <c r="J173" s="115">
        <f t="shared" ref="J173:J174" si="79">I173/$I$169</f>
        <v>0.82758620689655171</v>
      </c>
      <c r="K173" s="97">
        <f t="shared" ref="K173:K175" si="80">I173-G173</f>
        <v>0</v>
      </c>
      <c r="L173" s="115">
        <f t="shared" ref="L173:L175" si="81">G173/I173</f>
        <v>1</v>
      </c>
      <c r="M173" s="310" t="s">
        <v>293</v>
      </c>
      <c r="N173" s="170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spans="1:31" ht="15.75" customHeight="1">
      <c r="A174" s="147"/>
      <c r="B174" s="410"/>
      <c r="C174" s="297"/>
      <c r="D174" s="297"/>
      <c r="E174" s="143" t="s">
        <v>149</v>
      </c>
      <c r="F174" s="298" t="s">
        <v>150</v>
      </c>
      <c r="G174" s="170">
        <v>500</v>
      </c>
      <c r="H174" s="369">
        <f t="shared" si="78"/>
        <v>2.4630541871921183E-2</v>
      </c>
      <c r="I174" s="335">
        <v>500</v>
      </c>
      <c r="J174" s="115">
        <f t="shared" si="79"/>
        <v>2.4630541871921183E-2</v>
      </c>
      <c r="K174" s="97">
        <f t="shared" si="80"/>
        <v>0</v>
      </c>
      <c r="L174" s="115">
        <f t="shared" si="81"/>
        <v>1</v>
      </c>
      <c r="M174" s="310" t="s">
        <v>273</v>
      </c>
      <c r="N174" s="170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spans="1:31" ht="15.75" customHeight="1">
      <c r="A175" s="417"/>
      <c r="B175" s="455"/>
      <c r="C175" s="316" t="s">
        <v>50</v>
      </c>
      <c r="D175" s="316" t="s">
        <v>50</v>
      </c>
      <c r="E175" s="456"/>
      <c r="F175" s="294" t="s">
        <v>51</v>
      </c>
      <c r="G175" s="333">
        <v>8346</v>
      </c>
      <c r="H175" s="293">
        <f>G175/G80</f>
        <v>7.1603836716484501E-2</v>
      </c>
      <c r="I175" s="332">
        <f>ROUND((I82+I85+I120+I139+I151)/95*5,0)</f>
        <v>8479</v>
      </c>
      <c r="J175" s="293">
        <f>I175/$I$80</f>
        <v>5.0000294847829037E-2</v>
      </c>
      <c r="K175" s="457">
        <f t="shared" si="80"/>
        <v>133</v>
      </c>
      <c r="L175" s="458">
        <f t="shared" si="81"/>
        <v>0.98431418799386716</v>
      </c>
      <c r="M175" s="459" t="s">
        <v>294</v>
      </c>
      <c r="N175" s="321"/>
      <c r="O175" s="322"/>
      <c r="P175" s="322"/>
      <c r="Q175" s="322"/>
      <c r="R175" s="322"/>
      <c r="S175" s="322"/>
      <c r="T175" s="322"/>
      <c r="U175" s="322"/>
      <c r="V175" s="322"/>
      <c r="W175" s="322"/>
      <c r="X175" s="322"/>
      <c r="Y175" s="322"/>
      <c r="Z175" s="322"/>
      <c r="AA175" s="322"/>
      <c r="AB175" s="322"/>
      <c r="AC175" s="322"/>
      <c r="AD175" s="322"/>
      <c r="AE175" s="322"/>
    </row>
    <row r="176" spans="1:31" ht="15.75" customHeight="1">
      <c r="A176" s="417"/>
      <c r="B176" s="434"/>
      <c r="C176" s="146"/>
      <c r="D176" s="146"/>
      <c r="E176" s="436"/>
      <c r="F176" s="264"/>
      <c r="G176" s="264"/>
      <c r="H176" s="115"/>
      <c r="I176" s="335"/>
      <c r="J176" s="115"/>
      <c r="K176" s="97"/>
      <c r="L176" s="115"/>
      <c r="M176" s="264"/>
      <c r="N176" s="170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spans="1:31" ht="15.75" customHeight="1">
      <c r="A177" s="417"/>
      <c r="B177" s="434"/>
      <c r="C177" s="146"/>
      <c r="D177" s="146"/>
      <c r="E177" s="436"/>
      <c r="F177" s="264"/>
      <c r="G177" s="264"/>
      <c r="H177" s="115"/>
      <c r="I177" s="335"/>
      <c r="J177" s="115"/>
      <c r="K177" s="97"/>
      <c r="L177" s="115"/>
      <c r="M177" s="264"/>
      <c r="N177" s="170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spans="1:31" ht="15.75" customHeight="1">
      <c r="A178" s="147"/>
      <c r="B178" s="146"/>
      <c r="C178" s="146"/>
      <c r="D178" s="146"/>
      <c r="E178" s="143"/>
      <c r="F178" s="264"/>
      <c r="G178" s="264"/>
      <c r="H178" s="115"/>
      <c r="I178" s="335"/>
      <c r="J178" s="276"/>
      <c r="K178" s="110"/>
      <c r="L178" s="276"/>
      <c r="M178" s="264"/>
      <c r="N178" s="170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spans="1:31" ht="15.75" customHeight="1">
      <c r="A179" s="277"/>
      <c r="B179" s="278" t="s">
        <v>61</v>
      </c>
      <c r="C179" s="278" t="s">
        <v>46</v>
      </c>
      <c r="D179" s="278" t="s">
        <v>46</v>
      </c>
      <c r="E179" s="279"/>
      <c r="F179" s="280" t="s">
        <v>21</v>
      </c>
      <c r="G179" s="281">
        <f>SUM(G180,G183,G193,G205,G216)</f>
        <v>213117</v>
      </c>
      <c r="H179" s="282">
        <f>G179/$G$9</f>
        <v>0.21165026367274786</v>
      </c>
      <c r="I179" s="330">
        <f>SUM(I180,I183,I193,I205,I216)</f>
        <v>252806</v>
      </c>
      <c r="J179" s="282">
        <f>I179/$I$9</f>
        <v>0.16417760004446144</v>
      </c>
      <c r="K179" s="331">
        <f>SUM(K180,K183,K193,K205,K216)</f>
        <v>39689</v>
      </c>
      <c r="L179" s="282">
        <v>0</v>
      </c>
      <c r="M179" s="280"/>
      <c r="N179" s="284"/>
      <c r="O179" s="285"/>
      <c r="P179" s="285"/>
      <c r="Q179" s="285"/>
      <c r="R179" s="285"/>
      <c r="S179" s="285"/>
      <c r="T179" s="285"/>
      <c r="U179" s="285"/>
      <c r="V179" s="285"/>
      <c r="W179" s="285"/>
      <c r="X179" s="285"/>
      <c r="Y179" s="285"/>
      <c r="Z179" s="285"/>
      <c r="AA179" s="285"/>
      <c r="AB179" s="285"/>
      <c r="AC179" s="285"/>
      <c r="AD179" s="285"/>
      <c r="AE179" s="285"/>
    </row>
    <row r="180" spans="1:31" ht="15.75" customHeight="1">
      <c r="A180" s="147"/>
      <c r="B180" s="460"/>
      <c r="C180" s="353" t="s">
        <v>46</v>
      </c>
      <c r="D180" s="353" t="s">
        <v>45</v>
      </c>
      <c r="E180" s="461"/>
      <c r="F180" s="462" t="s">
        <v>73</v>
      </c>
      <c r="G180" s="333">
        <f>SUM(G181)</f>
        <v>3000</v>
      </c>
      <c r="H180" s="293">
        <f>G180/$G$179</f>
        <v>1.4076774729374006E-2</v>
      </c>
      <c r="I180" s="463">
        <f>SUM(I181)</f>
        <v>3000</v>
      </c>
      <c r="J180" s="293">
        <f>I180/$I$179</f>
        <v>1.1866806958695601E-2</v>
      </c>
      <c r="K180" s="464">
        <f>SUM(K181)</f>
        <v>0</v>
      </c>
      <c r="L180" s="458">
        <f t="shared" ref="L180:L181" si="82">G180/I180</f>
        <v>1</v>
      </c>
      <c r="M180" s="465"/>
      <c r="N180" s="321"/>
      <c r="O180" s="322"/>
      <c r="P180" s="322"/>
      <c r="Q180" s="322"/>
      <c r="R180" s="322"/>
      <c r="S180" s="322"/>
      <c r="T180" s="322"/>
      <c r="U180" s="322"/>
      <c r="V180" s="322"/>
      <c r="W180" s="322"/>
      <c r="X180" s="322"/>
      <c r="Y180" s="322"/>
      <c r="Z180" s="322"/>
      <c r="AA180" s="322"/>
      <c r="AB180" s="322"/>
      <c r="AC180" s="322"/>
      <c r="AD180" s="322"/>
      <c r="AE180" s="322"/>
    </row>
    <row r="181" spans="1:31" ht="15.75" customHeight="1">
      <c r="A181" s="147"/>
      <c r="B181" s="410"/>
      <c r="C181" s="297"/>
      <c r="D181" s="297"/>
      <c r="E181" s="143" t="s">
        <v>224</v>
      </c>
      <c r="F181" s="298" t="s">
        <v>225</v>
      </c>
      <c r="G181" s="110">
        <v>3000</v>
      </c>
      <c r="H181" s="115">
        <f>G181/G180</f>
        <v>1</v>
      </c>
      <c r="I181" s="335">
        <v>3000</v>
      </c>
      <c r="J181" s="115">
        <f>I181/$I$180</f>
        <v>1</v>
      </c>
      <c r="K181" s="97">
        <f>I181-G181</f>
        <v>0</v>
      </c>
      <c r="L181" s="115">
        <f t="shared" si="82"/>
        <v>1</v>
      </c>
      <c r="M181" s="310" t="s">
        <v>295</v>
      </c>
      <c r="N181" s="170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spans="1:31" ht="15.75" customHeight="1">
      <c r="A182" s="147"/>
      <c r="B182" s="410"/>
      <c r="C182" s="297"/>
      <c r="D182" s="297"/>
      <c r="E182" s="231"/>
      <c r="F182" s="306"/>
      <c r="G182" s="384"/>
      <c r="H182" s="369"/>
      <c r="I182" s="414"/>
      <c r="J182" s="115"/>
      <c r="K182" s="97"/>
      <c r="L182" s="115"/>
      <c r="M182" s="349"/>
      <c r="N182" s="466"/>
      <c r="O182" s="467"/>
      <c r="P182" s="467"/>
      <c r="Q182" s="467"/>
      <c r="R182" s="467"/>
      <c r="S182" s="467"/>
      <c r="T182" s="467"/>
      <c r="U182" s="467"/>
      <c r="V182" s="467"/>
      <c r="W182" s="467"/>
      <c r="X182" s="467"/>
      <c r="Y182" s="467"/>
      <c r="Z182" s="467"/>
      <c r="AA182" s="467"/>
      <c r="AB182" s="467"/>
      <c r="AC182" s="467"/>
      <c r="AD182" s="467"/>
      <c r="AE182" s="467"/>
    </row>
    <row r="183" spans="1:31" ht="15.75" customHeight="1">
      <c r="A183" s="147"/>
      <c r="B183" s="460"/>
      <c r="C183" s="353" t="s">
        <v>46</v>
      </c>
      <c r="D183" s="353" t="s">
        <v>48</v>
      </c>
      <c r="E183" s="461"/>
      <c r="F183" s="462" t="s">
        <v>74</v>
      </c>
      <c r="G183" s="333">
        <f>SUM(G184:G191)</f>
        <v>51942</v>
      </c>
      <c r="H183" s="293">
        <f>G183/$G$179</f>
        <v>0.24372527766438154</v>
      </c>
      <c r="I183" s="468">
        <f>SUM(I184:I191)</f>
        <v>73958</v>
      </c>
      <c r="J183" s="293">
        <f>I183/$I$179</f>
        <v>0.29254843635040306</v>
      </c>
      <c r="K183" s="333">
        <f>SUM(K184:K191)</f>
        <v>22016</v>
      </c>
      <c r="L183" s="458">
        <f t="shared" ref="L183:L185" si="83">G183/I183</f>
        <v>0.7023175315719733</v>
      </c>
      <c r="M183" s="469"/>
      <c r="N183" s="321"/>
      <c r="O183" s="322"/>
      <c r="P183" s="322"/>
      <c r="Q183" s="322"/>
      <c r="R183" s="322"/>
      <c r="S183" s="322"/>
      <c r="T183" s="322"/>
      <c r="U183" s="322"/>
      <c r="V183" s="322"/>
      <c r="W183" s="322"/>
      <c r="X183" s="322"/>
      <c r="Y183" s="322"/>
      <c r="Z183" s="322"/>
      <c r="AA183" s="322"/>
      <c r="AB183" s="322"/>
      <c r="AC183" s="322"/>
      <c r="AD183" s="322"/>
      <c r="AE183" s="322"/>
    </row>
    <row r="184" spans="1:31" ht="15.75" customHeight="1">
      <c r="A184" s="444"/>
      <c r="B184" s="410"/>
      <c r="C184" s="410"/>
      <c r="D184" s="410"/>
      <c r="E184" s="246" t="s">
        <v>224</v>
      </c>
      <c r="F184" s="170" t="s">
        <v>225</v>
      </c>
      <c r="G184" s="384">
        <v>8000</v>
      </c>
      <c r="H184" s="369">
        <f t="shared" ref="H184:H185" si="84">G184/$G$183</f>
        <v>0.15401794309037004</v>
      </c>
      <c r="I184" s="377">
        <v>8000</v>
      </c>
      <c r="J184" s="115">
        <f t="shared" ref="J184:J185" si="85">I184/$I$183</f>
        <v>0.10816950160902133</v>
      </c>
      <c r="K184" s="97">
        <f t="shared" ref="K184:K185" si="86">I184-G184</f>
        <v>0</v>
      </c>
      <c r="L184" s="115">
        <f t="shared" si="83"/>
        <v>1</v>
      </c>
      <c r="M184" s="453" t="s">
        <v>296</v>
      </c>
      <c r="N184" s="466"/>
      <c r="O184" s="467"/>
      <c r="P184" s="467"/>
      <c r="Q184" s="467"/>
      <c r="R184" s="467"/>
      <c r="S184" s="467"/>
      <c r="T184" s="467"/>
      <c r="U184" s="467"/>
      <c r="V184" s="467"/>
      <c r="W184" s="467"/>
      <c r="X184" s="467"/>
      <c r="Y184" s="467"/>
      <c r="Z184" s="467"/>
      <c r="AA184" s="467"/>
      <c r="AB184" s="467"/>
      <c r="AC184" s="467"/>
      <c r="AD184" s="467"/>
      <c r="AE184" s="467"/>
    </row>
    <row r="185" spans="1:31" ht="15.75" customHeight="1">
      <c r="A185" s="147"/>
      <c r="B185" s="410"/>
      <c r="C185" s="410"/>
      <c r="D185" s="410"/>
      <c r="E185" s="246" t="s">
        <v>143</v>
      </c>
      <c r="F185" s="170" t="s">
        <v>144</v>
      </c>
      <c r="G185" s="384">
        <v>3978</v>
      </c>
      <c r="H185" s="369">
        <f t="shared" si="84"/>
        <v>7.6585422201686501E-2</v>
      </c>
      <c r="I185" s="377">
        <v>3978</v>
      </c>
      <c r="J185" s="115">
        <f t="shared" si="85"/>
        <v>5.378728467508586E-2</v>
      </c>
      <c r="K185" s="97">
        <f t="shared" si="86"/>
        <v>0</v>
      </c>
      <c r="L185" s="115">
        <f t="shared" si="83"/>
        <v>1</v>
      </c>
      <c r="M185" s="453" t="s">
        <v>297</v>
      </c>
      <c r="N185" s="466"/>
      <c r="O185" s="467"/>
      <c r="P185" s="467"/>
      <c r="Q185" s="467"/>
      <c r="R185" s="467"/>
      <c r="S185" s="467"/>
      <c r="T185" s="467"/>
      <c r="U185" s="467"/>
      <c r="V185" s="467"/>
      <c r="W185" s="467"/>
      <c r="X185" s="467"/>
      <c r="Y185" s="467"/>
      <c r="Z185" s="467"/>
      <c r="AA185" s="467"/>
      <c r="AB185" s="467"/>
      <c r="AC185" s="467"/>
      <c r="AD185" s="467"/>
      <c r="AE185" s="467"/>
    </row>
    <row r="186" spans="1:31" ht="15.75" customHeight="1">
      <c r="A186" s="147"/>
      <c r="B186" s="410"/>
      <c r="C186" s="410"/>
      <c r="D186" s="410"/>
      <c r="E186" s="410"/>
      <c r="F186" s="307"/>
      <c r="G186" s="384"/>
      <c r="H186" s="369"/>
      <c r="I186" s="470"/>
      <c r="J186" s="115"/>
      <c r="K186" s="97"/>
      <c r="L186" s="115"/>
      <c r="M186" s="453" t="s">
        <v>298</v>
      </c>
      <c r="N186" s="466"/>
      <c r="O186" s="467"/>
      <c r="P186" s="467"/>
      <c r="Q186" s="467"/>
      <c r="R186" s="467"/>
      <c r="S186" s="467"/>
      <c r="T186" s="467"/>
      <c r="U186" s="467"/>
      <c r="V186" s="467"/>
      <c r="W186" s="467"/>
      <c r="X186" s="467"/>
      <c r="Y186" s="467"/>
      <c r="Z186" s="467"/>
      <c r="AA186" s="467"/>
      <c r="AB186" s="467"/>
      <c r="AC186" s="467"/>
      <c r="AD186" s="467"/>
      <c r="AE186" s="467"/>
    </row>
    <row r="187" spans="1:31" ht="15.75" customHeight="1">
      <c r="A187" s="147"/>
      <c r="B187" s="410"/>
      <c r="C187" s="410"/>
      <c r="D187" s="410"/>
      <c r="E187" s="410"/>
      <c r="F187" s="307"/>
      <c r="G187" s="384"/>
      <c r="H187" s="369"/>
      <c r="I187" s="470"/>
      <c r="J187" s="115"/>
      <c r="K187" s="97"/>
      <c r="L187" s="115"/>
      <c r="M187" s="453" t="s">
        <v>299</v>
      </c>
      <c r="N187" s="466"/>
      <c r="O187" s="467"/>
      <c r="P187" s="467"/>
      <c r="Q187" s="467"/>
      <c r="R187" s="467"/>
      <c r="S187" s="467"/>
      <c r="T187" s="467"/>
      <c r="U187" s="467"/>
      <c r="V187" s="467"/>
      <c r="W187" s="467"/>
      <c r="X187" s="467"/>
      <c r="Y187" s="467"/>
      <c r="Z187" s="467"/>
      <c r="AA187" s="467"/>
      <c r="AB187" s="467"/>
      <c r="AC187" s="467"/>
      <c r="AD187" s="467"/>
      <c r="AE187" s="467"/>
    </row>
    <row r="188" spans="1:31" ht="15.75" customHeight="1">
      <c r="A188" s="147"/>
      <c r="B188" s="410"/>
      <c r="C188" s="410"/>
      <c r="D188" s="410"/>
      <c r="E188" s="246" t="s">
        <v>157</v>
      </c>
      <c r="F188" s="170" t="s">
        <v>158</v>
      </c>
      <c r="G188" s="384">
        <v>1200</v>
      </c>
      <c r="H188" s="369">
        <f t="shared" ref="H188:H191" si="87">G188/$G$183</f>
        <v>2.3102691463555505E-2</v>
      </c>
      <c r="I188" s="377">
        <v>1200</v>
      </c>
      <c r="J188" s="115">
        <f t="shared" ref="J188:J191" si="88">I188/$I$183</f>
        <v>1.6225425241353199E-2</v>
      </c>
      <c r="K188" s="97">
        <f t="shared" ref="K188:K191" si="89">I188-G188</f>
        <v>0</v>
      </c>
      <c r="L188" s="115">
        <f t="shared" ref="L188:L191" si="90">G188/I188</f>
        <v>1</v>
      </c>
      <c r="M188" s="453" t="s">
        <v>300</v>
      </c>
      <c r="N188" s="466"/>
      <c r="O188" s="467"/>
      <c r="P188" s="467"/>
      <c r="Q188" s="467"/>
      <c r="R188" s="467"/>
      <c r="S188" s="467"/>
      <c r="T188" s="467"/>
      <c r="U188" s="467"/>
      <c r="V188" s="467"/>
      <c r="W188" s="467"/>
      <c r="X188" s="467"/>
      <c r="Y188" s="467"/>
      <c r="Z188" s="467"/>
      <c r="AA188" s="467"/>
      <c r="AB188" s="467"/>
      <c r="AC188" s="467"/>
      <c r="AD188" s="467"/>
      <c r="AE188" s="467"/>
    </row>
    <row r="189" spans="1:31" ht="15.75" customHeight="1">
      <c r="A189" s="147"/>
      <c r="B189" s="410"/>
      <c r="C189" s="410"/>
      <c r="D189" s="410"/>
      <c r="E189" s="246" t="s">
        <v>301</v>
      </c>
      <c r="F189" s="170" t="s">
        <v>302</v>
      </c>
      <c r="G189" s="384">
        <v>180</v>
      </c>
      <c r="H189" s="369">
        <f t="shared" si="87"/>
        <v>3.4654037195333254E-3</v>
      </c>
      <c r="I189" s="377">
        <v>180</v>
      </c>
      <c r="J189" s="115">
        <f t="shared" si="88"/>
        <v>2.4338137862029803E-3</v>
      </c>
      <c r="K189" s="97">
        <f t="shared" si="89"/>
        <v>0</v>
      </c>
      <c r="L189" s="115">
        <f t="shared" si="90"/>
        <v>1</v>
      </c>
      <c r="M189" s="453" t="s">
        <v>303</v>
      </c>
      <c r="N189" s="466"/>
      <c r="O189" s="467"/>
      <c r="P189" s="467"/>
      <c r="Q189" s="467"/>
      <c r="R189" s="467"/>
      <c r="S189" s="467"/>
      <c r="T189" s="467"/>
      <c r="U189" s="467"/>
      <c r="V189" s="467"/>
      <c r="W189" s="467"/>
      <c r="X189" s="467"/>
      <c r="Y189" s="467"/>
      <c r="Z189" s="467"/>
      <c r="AA189" s="467"/>
      <c r="AB189" s="467"/>
      <c r="AC189" s="467"/>
      <c r="AD189" s="467"/>
      <c r="AE189" s="467"/>
    </row>
    <row r="190" spans="1:31" ht="15.75" customHeight="1">
      <c r="A190" s="147"/>
      <c r="B190" s="410"/>
      <c r="C190" s="410"/>
      <c r="D190" s="410"/>
      <c r="E190" s="246" t="s">
        <v>304</v>
      </c>
      <c r="F190" s="471" t="s">
        <v>305</v>
      </c>
      <c r="G190" s="384">
        <v>37984</v>
      </c>
      <c r="H190" s="369">
        <f t="shared" si="87"/>
        <v>0.73127719379307687</v>
      </c>
      <c r="I190" s="377">
        <v>60000</v>
      </c>
      <c r="J190" s="115">
        <f t="shared" si="88"/>
        <v>0.81127126206765998</v>
      </c>
      <c r="K190" s="97">
        <f t="shared" si="89"/>
        <v>22016</v>
      </c>
      <c r="L190" s="115">
        <f t="shared" si="90"/>
        <v>0.63306666666666667</v>
      </c>
      <c r="M190" s="453" t="s">
        <v>306</v>
      </c>
      <c r="N190" s="466"/>
      <c r="O190" s="467"/>
      <c r="P190" s="467"/>
      <c r="Q190" s="467"/>
      <c r="R190" s="467"/>
      <c r="S190" s="467"/>
      <c r="T190" s="467"/>
      <c r="U190" s="467"/>
      <c r="V190" s="467"/>
      <c r="W190" s="467"/>
      <c r="X190" s="467"/>
      <c r="Y190" s="467"/>
      <c r="Z190" s="467"/>
      <c r="AA190" s="467"/>
      <c r="AB190" s="467"/>
      <c r="AC190" s="467"/>
      <c r="AD190" s="467"/>
      <c r="AE190" s="467"/>
    </row>
    <row r="191" spans="1:31" ht="15.75" customHeight="1">
      <c r="A191" s="147"/>
      <c r="B191" s="410"/>
      <c r="C191" s="410"/>
      <c r="D191" s="410"/>
      <c r="E191" s="246" t="s">
        <v>177</v>
      </c>
      <c r="F191" s="170" t="s">
        <v>178</v>
      </c>
      <c r="G191" s="384">
        <v>600</v>
      </c>
      <c r="H191" s="369">
        <f t="shared" si="87"/>
        <v>1.1551345731777752E-2</v>
      </c>
      <c r="I191" s="377">
        <v>600</v>
      </c>
      <c r="J191" s="115">
        <f t="shared" si="88"/>
        <v>8.1127126206765997E-3</v>
      </c>
      <c r="K191" s="97">
        <f t="shared" si="89"/>
        <v>0</v>
      </c>
      <c r="L191" s="115">
        <f t="shared" si="90"/>
        <v>1</v>
      </c>
      <c r="M191" s="310" t="s">
        <v>307</v>
      </c>
      <c r="N191" s="466"/>
      <c r="O191" s="467"/>
      <c r="P191" s="467"/>
      <c r="Q191" s="467"/>
      <c r="R191" s="467"/>
      <c r="S191" s="467"/>
      <c r="T191" s="467"/>
      <c r="U191" s="467"/>
      <c r="V191" s="467"/>
      <c r="W191" s="467"/>
      <c r="X191" s="467"/>
      <c r="Y191" s="467"/>
      <c r="Z191" s="467"/>
      <c r="AA191" s="467"/>
      <c r="AB191" s="467"/>
      <c r="AC191" s="467"/>
      <c r="AD191" s="467"/>
      <c r="AE191" s="467"/>
    </row>
    <row r="192" spans="1:31" ht="15.75" customHeight="1">
      <c r="A192" s="147"/>
      <c r="B192" s="410"/>
      <c r="C192" s="410"/>
      <c r="D192" s="410"/>
      <c r="E192" s="410"/>
      <c r="F192" s="307"/>
      <c r="G192" s="384"/>
      <c r="H192" s="369"/>
      <c r="I192" s="470"/>
      <c r="J192" s="115"/>
      <c r="K192" s="97"/>
      <c r="L192" s="115"/>
      <c r="M192" s="307"/>
      <c r="N192" s="466"/>
      <c r="O192" s="467"/>
      <c r="P192" s="467"/>
      <c r="Q192" s="467"/>
      <c r="R192" s="467"/>
      <c r="S192" s="467"/>
      <c r="T192" s="467"/>
      <c r="U192" s="467"/>
      <c r="V192" s="467"/>
      <c r="W192" s="467"/>
      <c r="X192" s="467"/>
      <c r="Y192" s="467"/>
      <c r="Z192" s="467"/>
      <c r="AA192" s="467"/>
      <c r="AB192" s="467"/>
      <c r="AC192" s="467"/>
      <c r="AD192" s="467"/>
      <c r="AE192" s="467"/>
    </row>
    <row r="193" spans="1:31" ht="15.75" customHeight="1">
      <c r="A193" s="147"/>
      <c r="B193" s="460"/>
      <c r="C193" s="353" t="s">
        <v>46</v>
      </c>
      <c r="D193" s="353" t="s">
        <v>52</v>
      </c>
      <c r="E193" s="461"/>
      <c r="F193" s="462" t="s">
        <v>75</v>
      </c>
      <c r="G193" s="333">
        <f>SUM(G194:G203)</f>
        <v>106687</v>
      </c>
      <c r="H193" s="293">
        <f>G193/$G$179</f>
        <v>0.50060295518424147</v>
      </c>
      <c r="I193" s="472">
        <f>SUM(I194:I203)</f>
        <v>116008</v>
      </c>
      <c r="J193" s="293">
        <f>I193/$I$179</f>
        <v>0.45888151388811976</v>
      </c>
      <c r="K193" s="333">
        <f>SUM(K194:K203)</f>
        <v>9321</v>
      </c>
      <c r="L193" s="458">
        <f t="shared" ref="L193:L196" si="91">G193/I193</f>
        <v>0.91965209295910622</v>
      </c>
      <c r="M193" s="473"/>
      <c r="N193" s="321"/>
      <c r="O193" s="322"/>
      <c r="P193" s="322"/>
      <c r="Q193" s="322"/>
      <c r="R193" s="322"/>
      <c r="S193" s="322"/>
      <c r="T193" s="322"/>
      <c r="U193" s="322"/>
      <c r="V193" s="322"/>
      <c r="W193" s="322"/>
      <c r="X193" s="322"/>
      <c r="Y193" s="322"/>
      <c r="Z193" s="322"/>
      <c r="AA193" s="322"/>
      <c r="AB193" s="322"/>
      <c r="AC193" s="322"/>
      <c r="AD193" s="322"/>
      <c r="AE193" s="322"/>
    </row>
    <row r="194" spans="1:31" ht="15.75" customHeight="1">
      <c r="A194" s="147"/>
      <c r="B194" s="410"/>
      <c r="C194" s="410"/>
      <c r="D194" s="410"/>
      <c r="E194" s="246" t="s">
        <v>224</v>
      </c>
      <c r="F194" s="471" t="s">
        <v>225</v>
      </c>
      <c r="G194" s="384">
        <v>0</v>
      </c>
      <c r="H194" s="369">
        <f t="shared" ref="H194:H196" si="92">G194/$G$193</f>
        <v>0</v>
      </c>
      <c r="I194" s="377">
        <v>8000</v>
      </c>
      <c r="J194" s="115">
        <f t="shared" ref="J194:J196" si="93">I194/$I$193</f>
        <v>6.8960761326805051E-2</v>
      </c>
      <c r="K194" s="97">
        <f t="shared" ref="K194:K196" si="94">I194-G194</f>
        <v>8000</v>
      </c>
      <c r="L194" s="115">
        <f t="shared" si="91"/>
        <v>0</v>
      </c>
      <c r="M194" s="453" t="s">
        <v>308</v>
      </c>
      <c r="N194" s="466"/>
      <c r="O194" s="467" t="s">
        <v>309</v>
      </c>
      <c r="P194" s="467"/>
      <c r="Q194" s="467"/>
      <c r="R194" s="467"/>
      <c r="S194" s="467"/>
      <c r="T194" s="467"/>
      <c r="U194" s="467"/>
      <c r="V194" s="467"/>
      <c r="W194" s="467"/>
      <c r="X194" s="467"/>
      <c r="Y194" s="467"/>
      <c r="Z194" s="467"/>
      <c r="AA194" s="467"/>
      <c r="AB194" s="467"/>
      <c r="AC194" s="467"/>
      <c r="AD194" s="467"/>
      <c r="AE194" s="467"/>
    </row>
    <row r="195" spans="1:31" ht="15.75" customHeight="1">
      <c r="A195" s="147"/>
      <c r="B195" s="410"/>
      <c r="C195" s="410"/>
      <c r="D195" s="410"/>
      <c r="E195" s="246" t="s">
        <v>170</v>
      </c>
      <c r="F195" s="471" t="s">
        <v>171</v>
      </c>
      <c r="G195" s="384">
        <v>1500</v>
      </c>
      <c r="H195" s="369">
        <f t="shared" si="92"/>
        <v>1.4059819846841695E-2</v>
      </c>
      <c r="I195" s="377">
        <v>1500</v>
      </c>
      <c r="J195" s="115">
        <f t="shared" si="93"/>
        <v>1.2930142748775946E-2</v>
      </c>
      <c r="K195" s="97">
        <f t="shared" si="94"/>
        <v>0</v>
      </c>
      <c r="L195" s="115">
        <f t="shared" si="91"/>
        <v>1</v>
      </c>
      <c r="M195" s="453" t="s">
        <v>310</v>
      </c>
      <c r="N195" s="466"/>
      <c r="O195" s="467"/>
      <c r="P195" s="467"/>
      <c r="Q195" s="467"/>
      <c r="R195" s="467"/>
      <c r="S195" s="467"/>
      <c r="T195" s="467"/>
      <c r="U195" s="467"/>
      <c r="V195" s="467"/>
      <c r="W195" s="467"/>
      <c r="X195" s="467"/>
      <c r="Y195" s="467"/>
      <c r="Z195" s="467"/>
      <c r="AA195" s="467"/>
      <c r="AB195" s="467"/>
      <c r="AC195" s="467"/>
      <c r="AD195" s="467"/>
      <c r="AE195" s="467"/>
    </row>
    <row r="196" spans="1:31" ht="15.75" customHeight="1">
      <c r="A196" s="147"/>
      <c r="B196" s="410"/>
      <c r="C196" s="410"/>
      <c r="D196" s="410"/>
      <c r="E196" s="246" t="s">
        <v>143</v>
      </c>
      <c r="F196" s="471" t="s">
        <v>144</v>
      </c>
      <c r="G196" s="384">
        <v>12978</v>
      </c>
      <c r="H196" s="369">
        <f t="shared" si="92"/>
        <v>0.12164556131487435</v>
      </c>
      <c r="I196" s="377">
        <v>12978</v>
      </c>
      <c r="J196" s="115">
        <f t="shared" si="93"/>
        <v>0.11187159506240948</v>
      </c>
      <c r="K196" s="97">
        <f t="shared" si="94"/>
        <v>0</v>
      </c>
      <c r="L196" s="115">
        <f t="shared" si="91"/>
        <v>1</v>
      </c>
      <c r="M196" s="453" t="s">
        <v>311</v>
      </c>
      <c r="N196" s="466"/>
      <c r="O196" s="467"/>
      <c r="P196" s="467"/>
      <c r="Q196" s="467"/>
      <c r="R196" s="467"/>
      <c r="S196" s="467"/>
      <c r="T196" s="467"/>
      <c r="U196" s="467"/>
      <c r="V196" s="467"/>
      <c r="W196" s="467"/>
      <c r="X196" s="467"/>
      <c r="Y196" s="467"/>
      <c r="Z196" s="467"/>
      <c r="AA196" s="467"/>
      <c r="AB196" s="467"/>
      <c r="AC196" s="467"/>
      <c r="AD196" s="467"/>
      <c r="AE196" s="467"/>
    </row>
    <row r="197" spans="1:31" ht="15.75" customHeight="1">
      <c r="A197" s="147"/>
      <c r="B197" s="410"/>
      <c r="C197" s="410"/>
      <c r="D197" s="410"/>
      <c r="E197" s="410"/>
      <c r="F197" s="474"/>
      <c r="G197" s="384"/>
      <c r="H197" s="369"/>
      <c r="I197" s="470"/>
      <c r="J197" s="115"/>
      <c r="K197" s="97"/>
      <c r="L197" s="115"/>
      <c r="M197" s="453" t="s">
        <v>298</v>
      </c>
      <c r="N197" s="466"/>
      <c r="O197" s="467"/>
      <c r="P197" s="467"/>
      <c r="Q197" s="467"/>
      <c r="R197" s="467"/>
      <c r="S197" s="467"/>
      <c r="T197" s="467"/>
      <c r="U197" s="467"/>
      <c r="V197" s="467"/>
      <c r="W197" s="467"/>
      <c r="X197" s="467"/>
      <c r="Y197" s="467"/>
      <c r="Z197" s="467"/>
      <c r="AA197" s="467"/>
      <c r="AB197" s="467"/>
      <c r="AC197" s="467"/>
      <c r="AD197" s="467"/>
      <c r="AE197" s="467"/>
    </row>
    <row r="198" spans="1:31" ht="15.75" customHeight="1">
      <c r="A198" s="147"/>
      <c r="B198" s="410"/>
      <c r="C198" s="410"/>
      <c r="D198" s="410"/>
      <c r="E198" s="410"/>
      <c r="F198" s="474"/>
      <c r="G198" s="384"/>
      <c r="H198" s="369"/>
      <c r="I198" s="470"/>
      <c r="J198" s="115"/>
      <c r="K198" s="97"/>
      <c r="L198" s="115"/>
      <c r="M198" s="453" t="s">
        <v>299</v>
      </c>
      <c r="N198" s="466"/>
      <c r="O198" s="467"/>
      <c r="P198" s="467"/>
      <c r="Q198" s="467"/>
      <c r="R198" s="467"/>
      <c r="S198" s="467"/>
      <c r="T198" s="467"/>
      <c r="U198" s="467"/>
      <c r="V198" s="467"/>
      <c r="W198" s="467"/>
      <c r="X198" s="467"/>
      <c r="Y198" s="467"/>
      <c r="Z198" s="467"/>
      <c r="AA198" s="467"/>
      <c r="AB198" s="467"/>
      <c r="AC198" s="467"/>
      <c r="AD198" s="467"/>
      <c r="AE198" s="467"/>
    </row>
    <row r="199" spans="1:31" ht="15.75" customHeight="1">
      <c r="A199" s="147"/>
      <c r="B199" s="410"/>
      <c r="C199" s="410"/>
      <c r="D199" s="410"/>
      <c r="E199" s="410"/>
      <c r="F199" s="474"/>
      <c r="G199" s="384"/>
      <c r="H199" s="369"/>
      <c r="I199" s="470"/>
      <c r="J199" s="115"/>
      <c r="K199" s="97"/>
      <c r="L199" s="115"/>
      <c r="M199" s="453" t="s">
        <v>312</v>
      </c>
      <c r="N199" s="466"/>
      <c r="O199" s="467"/>
      <c r="P199" s="467"/>
      <c r="Q199" s="467"/>
      <c r="R199" s="467"/>
      <c r="S199" s="467"/>
      <c r="T199" s="467"/>
      <c r="U199" s="467"/>
      <c r="V199" s="467"/>
      <c r="W199" s="467"/>
      <c r="X199" s="467"/>
      <c r="Y199" s="467"/>
      <c r="Z199" s="467"/>
      <c r="AA199" s="467"/>
      <c r="AB199" s="467"/>
      <c r="AC199" s="467"/>
      <c r="AD199" s="467"/>
      <c r="AE199" s="467"/>
    </row>
    <row r="200" spans="1:31" ht="15.75" customHeight="1">
      <c r="A200" s="147"/>
      <c r="B200" s="410"/>
      <c r="C200" s="410"/>
      <c r="D200" s="410"/>
      <c r="E200" s="246" t="s">
        <v>157</v>
      </c>
      <c r="F200" s="471" t="s">
        <v>158</v>
      </c>
      <c r="G200" s="384">
        <v>0</v>
      </c>
      <c r="H200" s="369">
        <f t="shared" ref="H200:H203" si="95">G200/$G$193</f>
        <v>0</v>
      </c>
      <c r="I200" s="377">
        <v>1200</v>
      </c>
      <c r="J200" s="115">
        <f t="shared" ref="J200:J203" si="96">I200/$I$193</f>
        <v>1.0344114199020758E-2</v>
      </c>
      <c r="K200" s="97">
        <f t="shared" ref="K200:K203" si="97">I200-G200</f>
        <v>1200</v>
      </c>
      <c r="L200" s="115">
        <f t="shared" ref="L200:L203" si="98">G200/I200</f>
        <v>0</v>
      </c>
      <c r="M200" s="453" t="s">
        <v>300</v>
      </c>
      <c r="N200" s="466"/>
      <c r="O200" s="467" t="s">
        <v>313</v>
      </c>
      <c r="P200" s="467"/>
      <c r="Q200" s="467"/>
      <c r="R200" s="467"/>
      <c r="S200" s="467"/>
      <c r="T200" s="467"/>
      <c r="U200" s="467"/>
      <c r="V200" s="467"/>
      <c r="W200" s="467"/>
      <c r="X200" s="467"/>
      <c r="Y200" s="467"/>
      <c r="Z200" s="467"/>
      <c r="AA200" s="467"/>
      <c r="AB200" s="467"/>
      <c r="AC200" s="467"/>
      <c r="AD200" s="467"/>
      <c r="AE200" s="467"/>
    </row>
    <row r="201" spans="1:31" ht="15.75" customHeight="1">
      <c r="A201" s="147"/>
      <c r="B201" s="410"/>
      <c r="C201" s="410"/>
      <c r="D201" s="410"/>
      <c r="E201" s="246" t="s">
        <v>301</v>
      </c>
      <c r="F201" s="471" t="s">
        <v>302</v>
      </c>
      <c r="G201" s="384">
        <v>179</v>
      </c>
      <c r="H201" s="369">
        <f t="shared" si="95"/>
        <v>1.6778051683897757E-3</v>
      </c>
      <c r="I201" s="377">
        <v>180</v>
      </c>
      <c r="J201" s="115">
        <f t="shared" si="96"/>
        <v>1.5516171298531136E-3</v>
      </c>
      <c r="K201" s="97">
        <f t="shared" si="97"/>
        <v>1</v>
      </c>
      <c r="L201" s="115">
        <f t="shared" si="98"/>
        <v>0.99444444444444446</v>
      </c>
      <c r="M201" s="453" t="s">
        <v>303</v>
      </c>
      <c r="N201" s="466"/>
      <c r="O201" s="467"/>
      <c r="P201" s="467"/>
      <c r="Q201" s="467"/>
      <c r="R201" s="467"/>
      <c r="S201" s="467"/>
      <c r="T201" s="467"/>
      <c r="U201" s="467"/>
      <c r="V201" s="467"/>
      <c r="W201" s="467"/>
      <c r="X201" s="467"/>
      <c r="Y201" s="467"/>
      <c r="Z201" s="467"/>
      <c r="AA201" s="467"/>
      <c r="AB201" s="467"/>
      <c r="AC201" s="467"/>
      <c r="AD201" s="467"/>
      <c r="AE201" s="467"/>
    </row>
    <row r="202" spans="1:31" ht="15.75" customHeight="1">
      <c r="A202" s="147"/>
      <c r="B202" s="410"/>
      <c r="C202" s="410"/>
      <c r="D202" s="410"/>
      <c r="E202" s="246" t="s">
        <v>304</v>
      </c>
      <c r="F202" s="471" t="s">
        <v>305</v>
      </c>
      <c r="G202" s="384">
        <v>92000</v>
      </c>
      <c r="H202" s="369">
        <f t="shared" si="95"/>
        <v>0.86233561727295738</v>
      </c>
      <c r="I202" s="377">
        <v>92000</v>
      </c>
      <c r="J202" s="115">
        <f t="shared" si="96"/>
        <v>0.79304875525825802</v>
      </c>
      <c r="K202" s="97">
        <f t="shared" si="97"/>
        <v>0</v>
      </c>
      <c r="L202" s="115">
        <f t="shared" si="98"/>
        <v>1</v>
      </c>
      <c r="M202" s="453" t="s">
        <v>314</v>
      </c>
      <c r="N202" s="466"/>
      <c r="O202" s="467"/>
      <c r="P202" s="467"/>
      <c r="Q202" s="467"/>
      <c r="R202" s="467"/>
      <c r="S202" s="467"/>
      <c r="T202" s="467"/>
      <c r="U202" s="467"/>
      <c r="V202" s="467"/>
      <c r="W202" s="467"/>
      <c r="X202" s="467"/>
      <c r="Y202" s="467"/>
      <c r="Z202" s="467"/>
      <c r="AA202" s="467"/>
      <c r="AB202" s="467"/>
      <c r="AC202" s="467"/>
      <c r="AD202" s="467"/>
      <c r="AE202" s="467"/>
    </row>
    <row r="203" spans="1:31" ht="15.75" customHeight="1">
      <c r="A203" s="147"/>
      <c r="B203" s="410"/>
      <c r="C203" s="410"/>
      <c r="D203" s="410"/>
      <c r="E203" s="246" t="s">
        <v>177</v>
      </c>
      <c r="F203" s="471" t="s">
        <v>178</v>
      </c>
      <c r="G203" s="384">
        <v>30</v>
      </c>
      <c r="H203" s="369">
        <f t="shared" si="95"/>
        <v>2.8119639693683393E-4</v>
      </c>
      <c r="I203" s="377">
        <v>150</v>
      </c>
      <c r="J203" s="115">
        <f t="shared" si="96"/>
        <v>1.2930142748775947E-3</v>
      </c>
      <c r="K203" s="97">
        <f t="shared" si="97"/>
        <v>120</v>
      </c>
      <c r="L203" s="115">
        <f t="shared" si="98"/>
        <v>0.2</v>
      </c>
      <c r="M203" s="453" t="s">
        <v>315</v>
      </c>
      <c r="N203" s="466"/>
      <c r="O203" s="467" t="s">
        <v>131</v>
      </c>
      <c r="P203" s="467"/>
      <c r="Q203" s="467"/>
      <c r="R203" s="467"/>
      <c r="S203" s="467"/>
      <c r="T203" s="467"/>
      <c r="U203" s="467"/>
      <c r="V203" s="467"/>
      <c r="W203" s="467"/>
      <c r="X203" s="467"/>
      <c r="Y203" s="467"/>
      <c r="Z203" s="467"/>
      <c r="AA203" s="467"/>
      <c r="AB203" s="467"/>
      <c r="AC203" s="467"/>
      <c r="AD203" s="467"/>
      <c r="AE203" s="467"/>
    </row>
    <row r="204" spans="1:31" ht="15.75" customHeight="1">
      <c r="A204" s="147"/>
      <c r="B204" s="410"/>
      <c r="C204" s="410"/>
      <c r="D204" s="410"/>
      <c r="E204" s="410"/>
      <c r="F204" s="474"/>
      <c r="G204" s="384"/>
      <c r="H204" s="369"/>
      <c r="I204" s="470"/>
      <c r="J204" s="115"/>
      <c r="K204" s="97"/>
      <c r="L204" s="115"/>
      <c r="M204" s="307"/>
      <c r="N204" s="466"/>
      <c r="O204" s="467"/>
      <c r="P204" s="467"/>
      <c r="Q204" s="467"/>
      <c r="R204" s="467"/>
      <c r="S204" s="467"/>
      <c r="T204" s="467"/>
      <c r="U204" s="467"/>
      <c r="V204" s="467"/>
      <c r="W204" s="467"/>
      <c r="X204" s="467"/>
      <c r="Y204" s="467"/>
      <c r="Z204" s="467"/>
      <c r="AA204" s="467"/>
      <c r="AB204" s="467"/>
      <c r="AC204" s="467"/>
      <c r="AD204" s="467"/>
      <c r="AE204" s="467"/>
    </row>
    <row r="205" spans="1:31" ht="15.75" customHeight="1">
      <c r="A205" s="147"/>
      <c r="B205" s="460"/>
      <c r="C205" s="353" t="s">
        <v>46</v>
      </c>
      <c r="D205" s="353" t="s">
        <v>53</v>
      </c>
      <c r="E205" s="461"/>
      <c r="F205" s="462" t="s">
        <v>76</v>
      </c>
      <c r="G205" s="333">
        <f>SUM(G206:G214)</f>
        <v>40300</v>
      </c>
      <c r="H205" s="293">
        <f>G205/$G$179</f>
        <v>0.18909800719792413</v>
      </c>
      <c r="I205" s="463">
        <f>SUM(I206:I214)</f>
        <v>47200</v>
      </c>
      <c r="J205" s="293">
        <f>I205/$I$179</f>
        <v>0.18670442948347746</v>
      </c>
      <c r="K205" s="333">
        <f>SUM(K206:K214)</f>
        <v>6900</v>
      </c>
      <c r="L205" s="458">
        <f t="shared" ref="L205:L206" si="99">G205/I205</f>
        <v>0.85381355932203384</v>
      </c>
      <c r="M205" s="475"/>
      <c r="N205" s="321"/>
      <c r="O205" s="322"/>
      <c r="P205" s="322"/>
      <c r="Q205" s="322"/>
      <c r="R205" s="322"/>
      <c r="S205" s="322"/>
      <c r="T205" s="322"/>
      <c r="U205" s="322"/>
      <c r="V205" s="322"/>
      <c r="W205" s="322"/>
      <c r="X205" s="322"/>
      <c r="Y205" s="322"/>
      <c r="Z205" s="322"/>
      <c r="AA205" s="322"/>
      <c r="AB205" s="322"/>
      <c r="AC205" s="322"/>
      <c r="AD205" s="322"/>
      <c r="AE205" s="322"/>
    </row>
    <row r="206" spans="1:31" ht="15.75" customHeight="1">
      <c r="A206" s="147"/>
      <c r="B206" s="410"/>
      <c r="C206" s="410"/>
      <c r="D206" s="410"/>
      <c r="E206" s="246" t="s">
        <v>128</v>
      </c>
      <c r="F206" s="471" t="s">
        <v>129</v>
      </c>
      <c r="G206" s="384">
        <v>28800</v>
      </c>
      <c r="H206" s="369">
        <f>G206/$G$205</f>
        <v>0.71464019851116622</v>
      </c>
      <c r="I206" s="377">
        <v>32400</v>
      </c>
      <c r="J206" s="115">
        <f>I206/$I$205</f>
        <v>0.68644067796610164</v>
      </c>
      <c r="K206" s="97">
        <f>I206-G206</f>
        <v>3600</v>
      </c>
      <c r="L206" s="115">
        <f t="shared" si="99"/>
        <v>0.88888888888888884</v>
      </c>
      <c r="M206" s="453" t="s">
        <v>316</v>
      </c>
      <c r="N206" s="466"/>
      <c r="O206" s="467"/>
      <c r="P206" s="467"/>
      <c r="Q206" s="467"/>
      <c r="R206" s="467"/>
      <c r="S206" s="467"/>
      <c r="T206" s="467"/>
      <c r="U206" s="467"/>
      <c r="V206" s="467"/>
      <c r="W206" s="467"/>
      <c r="X206" s="467"/>
      <c r="Y206" s="467"/>
      <c r="Z206" s="467"/>
      <c r="AA206" s="467"/>
      <c r="AB206" s="467"/>
      <c r="AC206" s="467"/>
      <c r="AD206" s="467"/>
      <c r="AE206" s="467"/>
    </row>
    <row r="207" spans="1:31" ht="15.75" customHeight="1">
      <c r="A207" s="147"/>
      <c r="B207" s="410"/>
      <c r="C207" s="410"/>
      <c r="D207" s="410"/>
      <c r="E207" s="410"/>
      <c r="F207" s="474"/>
      <c r="G207" s="384"/>
      <c r="H207" s="369"/>
      <c r="I207" s="470"/>
      <c r="J207" s="115"/>
      <c r="K207" s="97"/>
      <c r="L207" s="115"/>
      <c r="M207" s="453" t="s">
        <v>317</v>
      </c>
      <c r="N207" s="466"/>
      <c r="O207" s="467"/>
      <c r="P207" s="467"/>
      <c r="Q207" s="467"/>
      <c r="R207" s="467"/>
      <c r="S207" s="467"/>
      <c r="T207" s="467"/>
      <c r="U207" s="467"/>
      <c r="V207" s="467"/>
      <c r="W207" s="467"/>
      <c r="X207" s="467"/>
      <c r="Y207" s="467"/>
      <c r="Z207" s="467"/>
      <c r="AA207" s="467"/>
      <c r="AB207" s="467"/>
      <c r="AC207" s="467"/>
      <c r="AD207" s="467"/>
      <c r="AE207" s="467"/>
    </row>
    <row r="208" spans="1:31" ht="15.75" customHeight="1">
      <c r="A208" s="147"/>
      <c r="B208" s="410"/>
      <c r="C208" s="410"/>
      <c r="D208" s="410"/>
      <c r="E208" s="410"/>
      <c r="F208" s="474"/>
      <c r="G208" s="384"/>
      <c r="H208" s="369"/>
      <c r="I208" s="470"/>
      <c r="J208" s="115"/>
      <c r="K208" s="97"/>
      <c r="L208" s="115"/>
      <c r="M208" s="453" t="s">
        <v>318</v>
      </c>
      <c r="N208" s="466"/>
      <c r="O208" s="467"/>
      <c r="P208" s="467"/>
      <c r="Q208" s="467"/>
      <c r="R208" s="467"/>
      <c r="S208" s="467"/>
      <c r="T208" s="467"/>
      <c r="U208" s="467"/>
      <c r="V208" s="467"/>
      <c r="W208" s="467"/>
      <c r="X208" s="467"/>
      <c r="Y208" s="467"/>
      <c r="Z208" s="467"/>
      <c r="AA208" s="467"/>
      <c r="AB208" s="467"/>
      <c r="AC208" s="467"/>
      <c r="AD208" s="467"/>
      <c r="AE208" s="467"/>
    </row>
    <row r="209" spans="1:31" ht="15.75" customHeight="1">
      <c r="A209" s="147"/>
      <c r="B209" s="410"/>
      <c r="C209" s="410"/>
      <c r="D209" s="410"/>
      <c r="E209" s="410"/>
      <c r="F209" s="474"/>
      <c r="G209" s="384"/>
      <c r="H209" s="369"/>
      <c r="I209" s="470"/>
      <c r="J209" s="115"/>
      <c r="K209" s="97"/>
      <c r="L209" s="115"/>
      <c r="M209" s="453" t="s">
        <v>319</v>
      </c>
      <c r="N209" s="466"/>
      <c r="O209" s="467"/>
      <c r="P209" s="467"/>
      <c r="Q209" s="467"/>
      <c r="R209" s="467"/>
      <c r="S209" s="467"/>
      <c r="T209" s="467"/>
      <c r="U209" s="467"/>
      <c r="V209" s="467"/>
      <c r="W209" s="467"/>
      <c r="X209" s="467"/>
      <c r="Y209" s="467"/>
      <c r="Z209" s="467"/>
      <c r="AA209" s="467"/>
      <c r="AB209" s="467"/>
      <c r="AC209" s="467"/>
      <c r="AD209" s="467"/>
      <c r="AE209" s="467"/>
    </row>
    <row r="210" spans="1:31" ht="15.75" customHeight="1">
      <c r="A210" s="147"/>
      <c r="B210" s="410"/>
      <c r="C210" s="410"/>
      <c r="D210" s="410"/>
      <c r="E210" s="410"/>
      <c r="F210" s="474"/>
      <c r="G210" s="384"/>
      <c r="H210" s="369"/>
      <c r="I210" s="470"/>
      <c r="J210" s="115"/>
      <c r="K210" s="97"/>
      <c r="L210" s="115"/>
      <c r="M210" s="453" t="s">
        <v>320</v>
      </c>
      <c r="N210" s="466"/>
      <c r="O210" s="467"/>
      <c r="P210" s="467"/>
      <c r="Q210" s="467"/>
      <c r="R210" s="467"/>
      <c r="S210" s="467"/>
      <c r="T210" s="467"/>
      <c r="U210" s="467"/>
      <c r="V210" s="467"/>
      <c r="W210" s="467"/>
      <c r="X210" s="467"/>
      <c r="Y210" s="467"/>
      <c r="Z210" s="467"/>
      <c r="AA210" s="467"/>
      <c r="AB210" s="467"/>
      <c r="AC210" s="467"/>
      <c r="AD210" s="467"/>
      <c r="AE210" s="467"/>
    </row>
    <row r="211" spans="1:31" ht="15.75" customHeight="1">
      <c r="A211" s="147"/>
      <c r="B211" s="410"/>
      <c r="C211" s="410"/>
      <c r="D211" s="410"/>
      <c r="E211" s="246" t="s">
        <v>224</v>
      </c>
      <c r="F211" s="471" t="s">
        <v>225</v>
      </c>
      <c r="G211" s="384">
        <v>3000</v>
      </c>
      <c r="H211" s="369">
        <f t="shared" ref="H211:H214" si="100">G211/$G$205</f>
        <v>7.4441687344913146E-2</v>
      </c>
      <c r="I211" s="377">
        <v>6000</v>
      </c>
      <c r="J211" s="115">
        <f t="shared" ref="J211:J214" si="101">I211/$I$205</f>
        <v>0.1271186440677966</v>
      </c>
      <c r="K211" s="97">
        <f t="shared" ref="K211:K214" si="102">I211-G211</f>
        <v>3000</v>
      </c>
      <c r="L211" s="115">
        <f t="shared" ref="L211:L214" si="103">G211/I211</f>
        <v>0.5</v>
      </c>
      <c r="M211" s="453" t="s">
        <v>321</v>
      </c>
      <c r="N211" s="466"/>
      <c r="O211" s="467"/>
      <c r="P211" s="467"/>
      <c r="Q211" s="467"/>
      <c r="R211" s="467"/>
      <c r="S211" s="467"/>
      <c r="T211" s="467"/>
      <c r="U211" s="467"/>
      <c r="V211" s="467"/>
      <c r="W211" s="467"/>
      <c r="X211" s="467"/>
      <c r="Y211" s="467"/>
      <c r="Z211" s="467"/>
      <c r="AA211" s="467"/>
      <c r="AB211" s="467"/>
      <c r="AC211" s="467"/>
      <c r="AD211" s="467"/>
      <c r="AE211" s="467"/>
    </row>
    <row r="212" spans="1:31" ht="15.75" customHeight="1">
      <c r="A212" s="147"/>
      <c r="B212" s="410"/>
      <c r="C212" s="410"/>
      <c r="D212" s="410"/>
      <c r="E212" s="246" t="s">
        <v>134</v>
      </c>
      <c r="F212" s="471" t="s">
        <v>135</v>
      </c>
      <c r="G212" s="384">
        <v>3000</v>
      </c>
      <c r="H212" s="369">
        <f t="shared" si="100"/>
        <v>7.4441687344913146E-2</v>
      </c>
      <c r="I212" s="377">
        <v>3000</v>
      </c>
      <c r="J212" s="115">
        <f t="shared" si="101"/>
        <v>6.3559322033898302E-2</v>
      </c>
      <c r="K212" s="97">
        <f t="shared" si="102"/>
        <v>0</v>
      </c>
      <c r="L212" s="115">
        <f t="shared" si="103"/>
        <v>1</v>
      </c>
      <c r="M212" s="453" t="s">
        <v>169</v>
      </c>
      <c r="N212" s="466" t="s">
        <v>322</v>
      </c>
      <c r="O212" s="467"/>
      <c r="P212" s="467"/>
      <c r="Q212" s="467"/>
      <c r="R212" s="467"/>
      <c r="S212" s="467"/>
      <c r="T212" s="467"/>
      <c r="U212" s="467"/>
      <c r="V212" s="467"/>
      <c r="W212" s="467"/>
      <c r="X212" s="467"/>
      <c r="Y212" s="467"/>
      <c r="Z212" s="467"/>
      <c r="AA212" s="467"/>
      <c r="AB212" s="467"/>
      <c r="AC212" s="467"/>
      <c r="AD212" s="467"/>
      <c r="AE212" s="467"/>
    </row>
    <row r="213" spans="1:31" ht="15.75" customHeight="1">
      <c r="A213" s="147"/>
      <c r="B213" s="410"/>
      <c r="C213" s="410"/>
      <c r="D213" s="410"/>
      <c r="E213" s="246" t="s">
        <v>170</v>
      </c>
      <c r="F213" s="471" t="s">
        <v>171</v>
      </c>
      <c r="G213" s="384">
        <v>3000</v>
      </c>
      <c r="H213" s="369">
        <f t="shared" si="100"/>
        <v>7.4441687344913146E-2</v>
      </c>
      <c r="I213" s="377">
        <v>3000</v>
      </c>
      <c r="J213" s="115">
        <f t="shared" si="101"/>
        <v>6.3559322033898302E-2</v>
      </c>
      <c r="K213" s="97">
        <f t="shared" si="102"/>
        <v>0</v>
      </c>
      <c r="L213" s="115">
        <f t="shared" si="103"/>
        <v>1</v>
      </c>
      <c r="M213" s="453" t="s">
        <v>323</v>
      </c>
      <c r="N213" s="466"/>
      <c r="O213" s="467"/>
      <c r="P213" s="467"/>
      <c r="Q213" s="467"/>
      <c r="R213" s="467"/>
      <c r="S213" s="467"/>
      <c r="T213" s="467"/>
      <c r="U213" s="467"/>
      <c r="V213" s="467"/>
      <c r="W213" s="467"/>
      <c r="X213" s="467"/>
      <c r="Y213" s="467"/>
      <c r="Z213" s="467"/>
      <c r="AA213" s="467"/>
      <c r="AB213" s="467"/>
      <c r="AC213" s="467"/>
      <c r="AD213" s="467"/>
      <c r="AE213" s="467"/>
    </row>
    <row r="214" spans="1:31" ht="15.75" customHeight="1">
      <c r="A214" s="147"/>
      <c r="B214" s="410"/>
      <c r="C214" s="410"/>
      <c r="D214" s="410"/>
      <c r="E214" s="246" t="s">
        <v>174</v>
      </c>
      <c r="F214" s="471" t="s">
        <v>175</v>
      </c>
      <c r="G214" s="384">
        <v>2500</v>
      </c>
      <c r="H214" s="369">
        <f t="shared" si="100"/>
        <v>6.2034739454094295E-2</v>
      </c>
      <c r="I214" s="377">
        <v>2800</v>
      </c>
      <c r="J214" s="115">
        <f t="shared" si="101"/>
        <v>5.9322033898305086E-2</v>
      </c>
      <c r="K214" s="97">
        <f t="shared" si="102"/>
        <v>300</v>
      </c>
      <c r="L214" s="115">
        <f t="shared" si="103"/>
        <v>0.8928571428571429</v>
      </c>
      <c r="M214" s="453" t="s">
        <v>324</v>
      </c>
      <c r="N214" s="466"/>
      <c r="O214" s="467"/>
      <c r="P214" s="467"/>
      <c r="Q214" s="467"/>
      <c r="R214" s="467"/>
      <c r="S214" s="467"/>
      <c r="T214" s="467"/>
      <c r="U214" s="467"/>
      <c r="V214" s="467"/>
      <c r="W214" s="467"/>
      <c r="X214" s="467"/>
      <c r="Y214" s="467"/>
      <c r="Z214" s="467"/>
      <c r="AA214" s="467"/>
      <c r="AB214" s="467"/>
      <c r="AC214" s="467"/>
      <c r="AD214" s="467"/>
      <c r="AE214" s="467"/>
    </row>
    <row r="215" spans="1:31" ht="15.75" customHeight="1">
      <c r="A215" s="147"/>
      <c r="B215" s="146"/>
      <c r="C215" s="146"/>
      <c r="D215" s="146"/>
      <c r="E215" s="143"/>
      <c r="F215" s="3"/>
      <c r="G215" s="384"/>
      <c r="H215" s="369"/>
      <c r="I215" s="97"/>
      <c r="J215" s="115"/>
      <c r="K215" s="97"/>
      <c r="L215" s="115"/>
      <c r="M215" s="370"/>
      <c r="N215" s="466"/>
      <c r="O215" s="467"/>
      <c r="P215" s="467"/>
      <c r="Q215" s="467"/>
      <c r="R215" s="467"/>
      <c r="S215" s="467"/>
      <c r="T215" s="467"/>
      <c r="U215" s="467"/>
      <c r="V215" s="467"/>
      <c r="W215" s="467"/>
      <c r="X215" s="467"/>
      <c r="Y215" s="467"/>
      <c r="Z215" s="467"/>
      <c r="AA215" s="467"/>
      <c r="AB215" s="467"/>
      <c r="AC215" s="467"/>
      <c r="AD215" s="467"/>
      <c r="AE215" s="467"/>
    </row>
    <row r="216" spans="1:31" ht="15.75" customHeight="1">
      <c r="A216" s="417"/>
      <c r="B216" s="455"/>
      <c r="C216" s="316" t="s">
        <v>50</v>
      </c>
      <c r="D216" s="316" t="s">
        <v>50</v>
      </c>
      <c r="E216" s="456"/>
      <c r="F216" s="294" t="s">
        <v>51</v>
      </c>
      <c r="G216" s="333">
        <v>11188</v>
      </c>
      <c r="H216" s="293">
        <f>G216/$G$179</f>
        <v>5.2496985224078793E-2</v>
      </c>
      <c r="I216" s="332">
        <f>ROUND((I180+I183+I193+I205)/95*5,0)</f>
        <v>12640</v>
      </c>
      <c r="J216" s="293">
        <f>I216/I179</f>
        <v>4.9998813319304128E-2</v>
      </c>
      <c r="K216" s="318">
        <f>I216-G216</f>
        <v>1452</v>
      </c>
      <c r="L216" s="458">
        <f>G216/I216</f>
        <v>0.88512658227848107</v>
      </c>
      <c r="M216" s="321" t="s">
        <v>294</v>
      </c>
      <c r="N216" s="321"/>
      <c r="O216" s="322"/>
      <c r="P216" s="322"/>
      <c r="Q216" s="322"/>
      <c r="R216" s="322"/>
      <c r="S216" s="322"/>
      <c r="T216" s="322"/>
      <c r="U216" s="322"/>
      <c r="V216" s="322"/>
      <c r="W216" s="322"/>
      <c r="X216" s="322"/>
      <c r="Y216" s="322"/>
      <c r="Z216" s="322"/>
      <c r="AA216" s="322"/>
      <c r="AB216" s="322"/>
      <c r="AC216" s="322"/>
      <c r="AD216" s="322"/>
      <c r="AE216" s="322"/>
    </row>
    <row r="217" spans="1:31" ht="15.75" customHeight="1">
      <c r="A217" s="147"/>
      <c r="B217" s="146"/>
      <c r="C217" s="146"/>
      <c r="D217" s="146"/>
      <c r="E217" s="183"/>
      <c r="F217" s="298"/>
      <c r="G217" s="298"/>
      <c r="H217" s="300"/>
      <c r="I217" s="476"/>
      <c r="J217" s="477"/>
      <c r="K217" s="478"/>
      <c r="L217" s="477"/>
      <c r="M217" s="370"/>
      <c r="N217" s="466"/>
      <c r="O217" s="467"/>
      <c r="P217" s="467"/>
      <c r="Q217" s="467"/>
      <c r="R217" s="467"/>
      <c r="S217" s="467"/>
      <c r="T217" s="467"/>
      <c r="U217" s="467"/>
      <c r="V217" s="467"/>
      <c r="W217" s="467"/>
      <c r="X217" s="467"/>
      <c r="Y217" s="467"/>
      <c r="Z217" s="467"/>
      <c r="AA217" s="467"/>
      <c r="AB217" s="467"/>
      <c r="AC217" s="467"/>
      <c r="AD217" s="467"/>
      <c r="AE217" s="467"/>
    </row>
    <row r="218" spans="1:31" ht="15.75" customHeight="1">
      <c r="A218" s="147"/>
      <c r="B218" s="146"/>
      <c r="C218" s="146"/>
      <c r="D218" s="146"/>
      <c r="E218" s="183"/>
      <c r="F218" s="298"/>
      <c r="G218" s="298"/>
      <c r="H218" s="300"/>
      <c r="I218" s="476"/>
      <c r="J218" s="477"/>
      <c r="K218" s="478"/>
      <c r="L218" s="477"/>
      <c r="M218" s="370"/>
      <c r="N218" s="466"/>
      <c r="O218" s="467"/>
      <c r="P218" s="467"/>
      <c r="Q218" s="467"/>
      <c r="R218" s="467"/>
      <c r="S218" s="467"/>
      <c r="T218" s="467"/>
      <c r="U218" s="467"/>
      <c r="V218" s="467"/>
      <c r="W218" s="467"/>
      <c r="X218" s="467"/>
      <c r="Y218" s="467"/>
      <c r="Z218" s="467"/>
      <c r="AA218" s="467"/>
      <c r="AB218" s="467"/>
      <c r="AC218" s="467"/>
      <c r="AD218" s="467"/>
      <c r="AE218" s="467"/>
    </row>
    <row r="219" spans="1:31" ht="15.75" customHeight="1">
      <c r="A219" s="147"/>
      <c r="B219" s="146"/>
      <c r="C219" s="146"/>
      <c r="D219" s="146"/>
      <c r="E219" s="183"/>
      <c r="F219" s="298"/>
      <c r="G219" s="298"/>
      <c r="H219" s="300"/>
      <c r="I219" s="476"/>
      <c r="J219" s="477"/>
      <c r="K219" s="478"/>
      <c r="L219" s="477"/>
      <c r="M219" s="370"/>
      <c r="N219" s="466"/>
      <c r="O219" s="467"/>
      <c r="P219" s="467"/>
      <c r="Q219" s="467"/>
      <c r="R219" s="467"/>
      <c r="S219" s="467"/>
      <c r="T219" s="467"/>
      <c r="U219" s="467"/>
      <c r="V219" s="467"/>
      <c r="W219" s="467"/>
      <c r="X219" s="467"/>
      <c r="Y219" s="467"/>
      <c r="Z219" s="467"/>
      <c r="AA219" s="467"/>
      <c r="AB219" s="467"/>
      <c r="AC219" s="467"/>
      <c r="AD219" s="467"/>
      <c r="AE219" s="467"/>
    </row>
    <row r="220" spans="1:31" ht="15.75" customHeight="1">
      <c r="A220" s="277"/>
      <c r="B220" s="278" t="s">
        <v>77</v>
      </c>
      <c r="C220" s="278" t="s">
        <v>46</v>
      </c>
      <c r="D220" s="278" t="s">
        <v>46</v>
      </c>
      <c r="E220" s="279"/>
      <c r="F220" s="280" t="s">
        <v>22</v>
      </c>
      <c r="G220" s="281">
        <f>SUM(G221,G228,G231,G235)</f>
        <v>30679</v>
      </c>
      <c r="H220" s="282">
        <f>G220/$G$9</f>
        <v>3.0467857745821458E-2</v>
      </c>
      <c r="I220" s="330">
        <f>SUM(I221,I228,I231,I235)</f>
        <v>47452</v>
      </c>
      <c r="J220" s="282">
        <f>I220/$I$9</f>
        <v>3.0816339316747956E-2</v>
      </c>
      <c r="K220" s="331">
        <f>SUM(K221,K228,K231,K235)</f>
        <v>16773</v>
      </c>
      <c r="L220" s="282">
        <f t="shared" ref="L220:L223" si="104">G220/I220</f>
        <v>0.64652701677484614</v>
      </c>
      <c r="M220" s="280"/>
      <c r="N220" s="284"/>
      <c r="O220" s="285"/>
      <c r="P220" s="285"/>
      <c r="Q220" s="285"/>
      <c r="R220" s="285"/>
      <c r="S220" s="285"/>
      <c r="T220" s="285"/>
      <c r="U220" s="285"/>
      <c r="V220" s="285"/>
      <c r="W220" s="285"/>
      <c r="X220" s="285"/>
      <c r="Y220" s="285"/>
      <c r="Z220" s="285"/>
      <c r="AA220" s="285"/>
      <c r="AB220" s="285"/>
      <c r="AC220" s="285"/>
      <c r="AD220" s="285"/>
      <c r="AE220" s="285"/>
    </row>
    <row r="221" spans="1:31" ht="15.75" customHeight="1">
      <c r="A221" s="147"/>
      <c r="B221" s="352"/>
      <c r="C221" s="353" t="s">
        <v>46</v>
      </c>
      <c r="D221" s="353" t="s">
        <v>45</v>
      </c>
      <c r="E221" s="354"/>
      <c r="F221" s="355" t="s">
        <v>47</v>
      </c>
      <c r="G221" s="333">
        <f>SUM(G222:G227)</f>
        <v>26000</v>
      </c>
      <c r="H221" s="293">
        <f>G221/G220</f>
        <v>0.84748525049708268</v>
      </c>
      <c r="I221" s="332">
        <f>SUM(I222:I227)</f>
        <v>26900</v>
      </c>
      <c r="J221" s="293">
        <f>I221/$I$220</f>
        <v>0.56688864536795081</v>
      </c>
      <c r="K221" s="313">
        <f>SUM(K222:K227)</f>
        <v>900</v>
      </c>
      <c r="L221" s="293">
        <f t="shared" si="104"/>
        <v>0.96654275092936803</v>
      </c>
      <c r="M221" s="479"/>
      <c r="N221" s="480"/>
      <c r="O221" s="322"/>
      <c r="P221" s="322"/>
      <c r="Q221" s="322"/>
      <c r="R221" s="322"/>
      <c r="S221" s="322"/>
      <c r="T221" s="322"/>
      <c r="U221" s="322"/>
      <c r="V221" s="322"/>
      <c r="W221" s="322"/>
      <c r="X221" s="322"/>
      <c r="Y221" s="322"/>
      <c r="Z221" s="322"/>
      <c r="AA221" s="322"/>
      <c r="AB221" s="322"/>
      <c r="AC221" s="322"/>
      <c r="AD221" s="322"/>
      <c r="AE221" s="322"/>
    </row>
    <row r="222" spans="1:31" ht="15.75" customHeight="1">
      <c r="A222" s="147"/>
      <c r="B222" s="410"/>
      <c r="C222" s="410"/>
      <c r="D222" s="410"/>
      <c r="E222" s="246" t="s">
        <v>128</v>
      </c>
      <c r="F222" s="471" t="s">
        <v>129</v>
      </c>
      <c r="G222" s="384">
        <v>9000</v>
      </c>
      <c r="H222" s="369">
        <f t="shared" ref="H222:H223" si="105">G222/$G$221</f>
        <v>0.34615384615384615</v>
      </c>
      <c r="I222" s="308">
        <v>9000</v>
      </c>
      <c r="J222" s="302">
        <f t="shared" ref="J222:J223" si="106">I222/$I$221</f>
        <v>0.33457249070631973</v>
      </c>
      <c r="K222" s="301">
        <f t="shared" ref="K222:K223" si="107">I222-G222</f>
        <v>0</v>
      </c>
      <c r="L222" s="115">
        <f t="shared" si="104"/>
        <v>1</v>
      </c>
      <c r="M222" s="481" t="s">
        <v>325</v>
      </c>
      <c r="N222" s="466"/>
      <c r="O222" s="467"/>
      <c r="P222" s="467"/>
      <c r="Q222" s="467"/>
      <c r="R222" s="467"/>
      <c r="S222" s="467"/>
      <c r="T222" s="467"/>
      <c r="U222" s="467"/>
      <c r="V222" s="467"/>
      <c r="W222" s="467"/>
      <c r="X222" s="467"/>
      <c r="Y222" s="467"/>
      <c r="Z222" s="467"/>
      <c r="AA222" s="467"/>
      <c r="AB222" s="467"/>
      <c r="AC222" s="467"/>
      <c r="AD222" s="467"/>
      <c r="AE222" s="467"/>
    </row>
    <row r="223" spans="1:31" ht="15.75" customHeight="1">
      <c r="A223" s="444"/>
      <c r="B223" s="410"/>
      <c r="C223" s="410"/>
      <c r="D223" s="410"/>
      <c r="E223" s="246" t="s">
        <v>208</v>
      </c>
      <c r="F223" s="471" t="s">
        <v>209</v>
      </c>
      <c r="G223" s="384">
        <v>10500</v>
      </c>
      <c r="H223" s="369">
        <f t="shared" si="105"/>
        <v>0.40384615384615385</v>
      </c>
      <c r="I223" s="308">
        <v>11400</v>
      </c>
      <c r="J223" s="302">
        <f t="shared" si="106"/>
        <v>0.42379182156133827</v>
      </c>
      <c r="K223" s="301">
        <f t="shared" si="107"/>
        <v>900</v>
      </c>
      <c r="L223" s="115">
        <f t="shared" si="104"/>
        <v>0.92105263157894735</v>
      </c>
      <c r="M223" s="481" t="s">
        <v>326</v>
      </c>
      <c r="N223" s="466"/>
      <c r="O223" s="467"/>
      <c r="P223" s="467"/>
      <c r="Q223" s="467"/>
      <c r="R223" s="467"/>
      <c r="S223" s="467"/>
      <c r="T223" s="467"/>
      <c r="U223" s="467"/>
      <c r="V223" s="467"/>
      <c r="W223" s="467"/>
      <c r="X223" s="467"/>
      <c r="Y223" s="467"/>
      <c r="Z223" s="467"/>
      <c r="AA223" s="467"/>
      <c r="AB223" s="467"/>
      <c r="AC223" s="467"/>
      <c r="AD223" s="467"/>
      <c r="AE223" s="467"/>
    </row>
    <row r="224" spans="1:31" ht="15.75" customHeight="1">
      <c r="A224" s="440"/>
      <c r="B224" s="410"/>
      <c r="C224" s="410"/>
      <c r="D224" s="410"/>
      <c r="E224" s="410"/>
      <c r="F224" s="474"/>
      <c r="G224" s="384"/>
      <c r="H224" s="369"/>
      <c r="I224" s="482"/>
      <c r="J224" s="302"/>
      <c r="K224" s="301"/>
      <c r="L224" s="483"/>
      <c r="M224" s="481" t="s">
        <v>327</v>
      </c>
      <c r="N224" s="466"/>
      <c r="O224" s="467"/>
      <c r="P224" s="467"/>
      <c r="Q224" s="467"/>
      <c r="R224" s="467"/>
      <c r="S224" s="467"/>
      <c r="T224" s="467"/>
      <c r="U224" s="467"/>
      <c r="V224" s="467"/>
      <c r="W224" s="467"/>
      <c r="X224" s="467"/>
      <c r="Y224" s="467"/>
      <c r="Z224" s="467"/>
      <c r="AA224" s="467"/>
      <c r="AB224" s="467"/>
      <c r="AC224" s="467"/>
      <c r="AD224" s="467"/>
      <c r="AE224" s="467"/>
    </row>
    <row r="225" spans="1:31" ht="15.75" customHeight="1">
      <c r="A225" s="440"/>
      <c r="B225" s="410"/>
      <c r="C225" s="410"/>
      <c r="D225" s="410"/>
      <c r="E225" s="246" t="s">
        <v>134</v>
      </c>
      <c r="F225" s="471" t="s">
        <v>135</v>
      </c>
      <c r="G225" s="384">
        <v>6000</v>
      </c>
      <c r="H225" s="369">
        <f>G225/$G$221</f>
        <v>0.23076923076923078</v>
      </c>
      <c r="I225" s="308">
        <v>6000</v>
      </c>
      <c r="J225" s="302">
        <f>I225/$I$221</f>
        <v>0.22304832713754646</v>
      </c>
      <c r="K225" s="301">
        <f>I225-G225</f>
        <v>0</v>
      </c>
      <c r="L225" s="115">
        <f>G225/I225</f>
        <v>1</v>
      </c>
      <c r="M225" s="481" t="s">
        <v>169</v>
      </c>
      <c r="N225" s="466"/>
      <c r="O225" s="467"/>
      <c r="P225" s="467"/>
      <c r="Q225" s="467"/>
      <c r="R225" s="467"/>
      <c r="S225" s="467"/>
      <c r="T225" s="467"/>
      <c r="U225" s="467"/>
      <c r="V225" s="467"/>
      <c r="W225" s="467"/>
      <c r="X225" s="467"/>
      <c r="Y225" s="467"/>
      <c r="Z225" s="467"/>
      <c r="AA225" s="467"/>
      <c r="AB225" s="467"/>
      <c r="AC225" s="467"/>
      <c r="AD225" s="467"/>
      <c r="AE225" s="467"/>
    </row>
    <row r="226" spans="1:31" ht="15.75" customHeight="1">
      <c r="A226" s="440"/>
      <c r="B226" s="410"/>
      <c r="C226" s="410"/>
      <c r="D226" s="410"/>
      <c r="E226" s="410"/>
      <c r="F226" s="474"/>
      <c r="G226" s="384"/>
      <c r="H226" s="369"/>
      <c r="I226" s="482"/>
      <c r="J226" s="302"/>
      <c r="K226" s="301"/>
      <c r="L226" s="483"/>
      <c r="M226" s="481" t="s">
        <v>205</v>
      </c>
      <c r="N226" s="466"/>
      <c r="O226" s="467"/>
      <c r="P226" s="467"/>
      <c r="Q226" s="467"/>
      <c r="R226" s="467"/>
      <c r="S226" s="467"/>
      <c r="T226" s="467"/>
      <c r="U226" s="467"/>
      <c r="V226" s="467"/>
      <c r="W226" s="467"/>
      <c r="X226" s="467"/>
      <c r="Y226" s="467"/>
      <c r="Z226" s="467"/>
      <c r="AA226" s="467"/>
      <c r="AB226" s="467"/>
      <c r="AC226" s="467"/>
      <c r="AD226" s="467"/>
      <c r="AE226" s="467"/>
    </row>
    <row r="227" spans="1:31" ht="15.75" customHeight="1">
      <c r="A227" s="440"/>
      <c r="B227" s="410"/>
      <c r="C227" s="410"/>
      <c r="D227" s="410"/>
      <c r="E227" s="484" t="s">
        <v>149</v>
      </c>
      <c r="F227" s="485" t="s">
        <v>150</v>
      </c>
      <c r="G227" s="384">
        <v>500</v>
      </c>
      <c r="H227" s="369">
        <f>G227/$G$221</f>
        <v>1.9230769230769232E-2</v>
      </c>
      <c r="I227" s="308">
        <v>500</v>
      </c>
      <c r="J227" s="302">
        <f>I227/$I$221</f>
        <v>1.858736059479554E-2</v>
      </c>
      <c r="K227" s="301">
        <f>I227-G227</f>
        <v>0</v>
      </c>
      <c r="L227" s="115">
        <f t="shared" ref="L227:L229" si="108">G227/I227</f>
        <v>1</v>
      </c>
      <c r="M227" s="481" t="s">
        <v>151</v>
      </c>
      <c r="N227" s="466"/>
      <c r="O227" s="467"/>
      <c r="P227" s="467"/>
      <c r="Q227" s="467"/>
      <c r="R227" s="467"/>
      <c r="S227" s="467"/>
      <c r="T227" s="467"/>
      <c r="U227" s="467"/>
      <c r="V227" s="467"/>
      <c r="W227" s="467"/>
      <c r="X227" s="467"/>
      <c r="Y227" s="467"/>
      <c r="Z227" s="467"/>
      <c r="AA227" s="467"/>
      <c r="AB227" s="467"/>
      <c r="AC227" s="467"/>
      <c r="AD227" s="467"/>
      <c r="AE227" s="467"/>
    </row>
    <row r="228" spans="1:31" ht="15.75" customHeight="1">
      <c r="A228" s="417"/>
      <c r="B228" s="455"/>
      <c r="C228" s="316" t="s">
        <v>46</v>
      </c>
      <c r="D228" s="316" t="s">
        <v>48</v>
      </c>
      <c r="E228" s="486"/>
      <c r="F228" s="487" t="s">
        <v>78</v>
      </c>
      <c r="G228" s="333">
        <f>SUM(G229)</f>
        <v>0</v>
      </c>
      <c r="H228" s="293">
        <f>G228/G220</f>
        <v>0</v>
      </c>
      <c r="I228" s="488">
        <f>SUM(I229)</f>
        <v>13500</v>
      </c>
      <c r="J228" s="489">
        <f>I228/$I$220</f>
        <v>0.28449801905083033</v>
      </c>
      <c r="K228" s="488">
        <f>SUM(K229)</f>
        <v>13500</v>
      </c>
      <c r="L228" s="458">
        <f t="shared" si="108"/>
        <v>0</v>
      </c>
      <c r="M228" s="490"/>
      <c r="N228" s="321"/>
      <c r="O228" s="322"/>
      <c r="P228" s="322"/>
      <c r="Q228" s="322"/>
      <c r="R228" s="322"/>
      <c r="S228" s="322"/>
      <c r="T228" s="322"/>
      <c r="U228" s="322"/>
      <c r="V228" s="322"/>
      <c r="W228" s="322"/>
      <c r="X228" s="322"/>
      <c r="Y228" s="322"/>
      <c r="Z228" s="322"/>
      <c r="AA228" s="322"/>
      <c r="AB228" s="322"/>
      <c r="AC228" s="322"/>
      <c r="AD228" s="322"/>
      <c r="AE228" s="322"/>
    </row>
    <row r="229" spans="1:31" ht="15.75" customHeight="1">
      <c r="A229" s="440"/>
      <c r="B229" s="410"/>
      <c r="C229" s="410"/>
      <c r="D229" s="410"/>
      <c r="E229" s="484" t="s">
        <v>157</v>
      </c>
      <c r="F229" s="485" t="s">
        <v>158</v>
      </c>
      <c r="G229" s="384">
        <v>0</v>
      </c>
      <c r="H229" s="369">
        <v>0</v>
      </c>
      <c r="I229" s="308">
        <v>13500</v>
      </c>
      <c r="J229" s="302">
        <f>I229/I228</f>
        <v>1</v>
      </c>
      <c r="K229" s="301">
        <f>I229-G229</f>
        <v>13500</v>
      </c>
      <c r="L229" s="115">
        <f t="shared" si="108"/>
        <v>0</v>
      </c>
      <c r="M229" s="481" t="s">
        <v>328</v>
      </c>
      <c r="N229" s="466"/>
      <c r="O229" s="467"/>
      <c r="P229" s="467"/>
      <c r="Q229" s="467"/>
      <c r="R229" s="467"/>
      <c r="S229" s="467"/>
      <c r="T229" s="467"/>
      <c r="U229" s="467"/>
      <c r="V229" s="467"/>
      <c r="W229" s="467"/>
      <c r="X229" s="467"/>
      <c r="Y229" s="467"/>
      <c r="Z229" s="467"/>
      <c r="AA229" s="467"/>
      <c r="AB229" s="467"/>
      <c r="AC229" s="467"/>
      <c r="AD229" s="467"/>
      <c r="AE229" s="467"/>
    </row>
    <row r="230" spans="1:31" ht="15.75" customHeight="1">
      <c r="A230" s="440"/>
      <c r="B230" s="410"/>
      <c r="C230" s="410"/>
      <c r="D230" s="410"/>
      <c r="E230" s="491"/>
      <c r="F230" s="491"/>
      <c r="G230" s="384"/>
      <c r="H230" s="369"/>
      <c r="I230" s="482"/>
      <c r="J230" s="302"/>
      <c r="K230" s="301"/>
      <c r="L230" s="483"/>
      <c r="M230" s="492"/>
      <c r="N230" s="466"/>
      <c r="O230" s="467"/>
      <c r="P230" s="467"/>
      <c r="Q230" s="467"/>
      <c r="R230" s="467"/>
      <c r="S230" s="467"/>
      <c r="T230" s="467"/>
      <c r="U230" s="467"/>
      <c r="V230" s="467"/>
      <c r="W230" s="467"/>
      <c r="X230" s="467"/>
      <c r="Y230" s="467"/>
      <c r="Z230" s="467"/>
      <c r="AA230" s="467"/>
      <c r="AB230" s="467"/>
      <c r="AC230" s="467"/>
      <c r="AD230" s="467"/>
      <c r="AE230" s="467"/>
    </row>
    <row r="231" spans="1:31" ht="15.75" customHeight="1">
      <c r="A231" s="417"/>
      <c r="B231" s="455"/>
      <c r="C231" s="316" t="s">
        <v>46</v>
      </c>
      <c r="D231" s="316" t="s">
        <v>52</v>
      </c>
      <c r="E231" s="486"/>
      <c r="F231" s="487" t="s">
        <v>79</v>
      </c>
      <c r="G231" s="333">
        <f>SUM(G232:G234)</f>
        <v>4679</v>
      </c>
      <c r="H231" s="293">
        <f>G231/G220</f>
        <v>0.1525147495029173</v>
      </c>
      <c r="I231" s="488">
        <f>SUM(I232:I234)</f>
        <v>4679</v>
      </c>
      <c r="J231" s="489">
        <f>I231/$I$220</f>
        <v>9.8604906010284071E-2</v>
      </c>
      <c r="K231" s="488">
        <f>SUM(K232:K234)</f>
        <v>0</v>
      </c>
      <c r="L231" s="458">
        <f t="shared" ref="L231:L232" si="109">G231/I231</f>
        <v>1</v>
      </c>
      <c r="M231" s="490"/>
      <c r="N231" s="321"/>
      <c r="O231" s="322"/>
      <c r="P231" s="322"/>
      <c r="Q231" s="322"/>
      <c r="R231" s="322"/>
      <c r="S231" s="322"/>
      <c r="T231" s="322"/>
      <c r="U231" s="322"/>
      <c r="V231" s="322"/>
      <c r="W231" s="322"/>
      <c r="X231" s="322"/>
      <c r="Y231" s="322"/>
      <c r="Z231" s="322"/>
      <c r="AA231" s="322"/>
      <c r="AB231" s="322"/>
      <c r="AC231" s="322"/>
      <c r="AD231" s="322"/>
      <c r="AE231" s="322"/>
    </row>
    <row r="232" spans="1:31" ht="15.75" customHeight="1">
      <c r="A232" s="440"/>
      <c r="B232" s="410"/>
      <c r="C232" s="410"/>
      <c r="D232" s="410"/>
      <c r="E232" s="484" t="s">
        <v>128</v>
      </c>
      <c r="F232" s="485" t="s">
        <v>129</v>
      </c>
      <c r="G232" s="384">
        <v>4000</v>
      </c>
      <c r="H232" s="369">
        <f>G232/$G$231</f>
        <v>0.85488352212011109</v>
      </c>
      <c r="I232" s="308">
        <v>4000</v>
      </c>
      <c r="J232" s="302">
        <f>I232/$I$231</f>
        <v>0.85488352212011109</v>
      </c>
      <c r="K232" s="301">
        <f>I232-G232</f>
        <v>0</v>
      </c>
      <c r="L232" s="115">
        <f t="shared" si="109"/>
        <v>1</v>
      </c>
      <c r="M232" s="481" t="s">
        <v>329</v>
      </c>
      <c r="N232" s="466"/>
      <c r="O232" s="467"/>
      <c r="P232" s="467"/>
      <c r="Q232" s="467"/>
      <c r="R232" s="467"/>
      <c r="S232" s="467"/>
      <c r="T232" s="467"/>
      <c r="U232" s="467"/>
      <c r="V232" s="467"/>
      <c r="W232" s="467"/>
      <c r="X232" s="467"/>
      <c r="Y232" s="467"/>
      <c r="Z232" s="467"/>
      <c r="AA232" s="467"/>
      <c r="AB232" s="467"/>
      <c r="AC232" s="467"/>
      <c r="AD232" s="467"/>
      <c r="AE232" s="467"/>
    </row>
    <row r="233" spans="1:31" ht="15.75" customHeight="1">
      <c r="A233" s="440"/>
      <c r="B233" s="410"/>
      <c r="C233" s="410"/>
      <c r="D233" s="410"/>
      <c r="E233" s="493"/>
      <c r="F233" s="491"/>
      <c r="G233" s="384"/>
      <c r="H233" s="369"/>
      <c r="I233" s="482"/>
      <c r="J233" s="302"/>
      <c r="K233" s="301"/>
      <c r="L233" s="483"/>
      <c r="M233" s="481" t="s">
        <v>330</v>
      </c>
      <c r="N233" s="466"/>
      <c r="O233" s="467"/>
      <c r="P233" s="467"/>
      <c r="Q233" s="467"/>
      <c r="R233" s="467"/>
      <c r="S233" s="467"/>
      <c r="T233" s="467"/>
      <c r="U233" s="467"/>
      <c r="V233" s="467"/>
      <c r="W233" s="467"/>
      <c r="X233" s="467"/>
      <c r="Y233" s="467"/>
      <c r="Z233" s="467"/>
      <c r="AA233" s="467"/>
      <c r="AB233" s="467"/>
      <c r="AC233" s="467"/>
      <c r="AD233" s="467"/>
      <c r="AE233" s="467"/>
    </row>
    <row r="234" spans="1:31" ht="15.75" customHeight="1">
      <c r="A234" s="440"/>
      <c r="B234" s="410"/>
      <c r="C234" s="410"/>
      <c r="D234" s="410"/>
      <c r="E234" s="484" t="s">
        <v>180</v>
      </c>
      <c r="F234" s="485" t="s">
        <v>181</v>
      </c>
      <c r="G234" s="384">
        <v>679</v>
      </c>
      <c r="H234" s="369">
        <f>G234/$G$231</f>
        <v>0.14511647787988888</v>
      </c>
      <c r="I234" s="308">
        <v>679</v>
      </c>
      <c r="J234" s="302">
        <f>I234/$I$231</f>
        <v>0.14511647787988888</v>
      </c>
      <c r="K234" s="301">
        <f t="shared" ref="K234:K235" si="110">I234-G234</f>
        <v>0</v>
      </c>
      <c r="L234" s="115">
        <f t="shared" ref="L234:L235" si="111">G234/I234</f>
        <v>1</v>
      </c>
      <c r="M234" s="481" t="s">
        <v>331</v>
      </c>
      <c r="N234" s="466"/>
      <c r="O234" s="467"/>
      <c r="P234" s="467"/>
      <c r="Q234" s="467"/>
      <c r="R234" s="467"/>
      <c r="S234" s="467"/>
      <c r="T234" s="467"/>
      <c r="U234" s="467"/>
      <c r="V234" s="467"/>
      <c r="W234" s="467"/>
      <c r="X234" s="467"/>
      <c r="Y234" s="467"/>
      <c r="Z234" s="467"/>
      <c r="AA234" s="467"/>
      <c r="AB234" s="467"/>
      <c r="AC234" s="467"/>
      <c r="AD234" s="467"/>
      <c r="AE234" s="467"/>
    </row>
    <row r="235" spans="1:31" ht="15.75" customHeight="1">
      <c r="A235" s="147"/>
      <c r="B235" s="316"/>
      <c r="C235" s="316" t="s">
        <v>50</v>
      </c>
      <c r="D235" s="316" t="s">
        <v>50</v>
      </c>
      <c r="E235" s="385"/>
      <c r="F235" s="294" t="s">
        <v>51</v>
      </c>
      <c r="G235" s="294">
        <v>0</v>
      </c>
      <c r="H235" s="293">
        <f>G235/G220</f>
        <v>0</v>
      </c>
      <c r="I235" s="332">
        <f>ROUND((I221+I228+I231)/95*5,0)</f>
        <v>2373</v>
      </c>
      <c r="J235" s="293">
        <f>I235/$I$220</f>
        <v>5.0008429570934841E-2</v>
      </c>
      <c r="K235" s="318">
        <f t="shared" si="110"/>
        <v>2373</v>
      </c>
      <c r="L235" s="458">
        <f t="shared" si="111"/>
        <v>0</v>
      </c>
      <c r="M235" s="321" t="s">
        <v>294</v>
      </c>
      <c r="N235" s="494"/>
      <c r="O235" s="322"/>
      <c r="P235" s="322"/>
      <c r="Q235" s="322"/>
      <c r="R235" s="322"/>
      <c r="S235" s="322"/>
      <c r="T235" s="322"/>
      <c r="U235" s="322"/>
      <c r="V235" s="322"/>
      <c r="W235" s="322"/>
      <c r="X235" s="322"/>
      <c r="Y235" s="322"/>
      <c r="Z235" s="322"/>
      <c r="AA235" s="322"/>
      <c r="AB235" s="322"/>
      <c r="AC235" s="322"/>
      <c r="AD235" s="322"/>
      <c r="AE235" s="322"/>
    </row>
    <row r="236" spans="1:31" ht="15.75" customHeight="1">
      <c r="A236" s="147"/>
      <c r="B236" s="146"/>
      <c r="C236" s="146"/>
      <c r="D236" s="146"/>
      <c r="E236" s="143"/>
      <c r="F236" s="264"/>
      <c r="G236" s="264"/>
      <c r="H236" s="115"/>
      <c r="I236" s="335"/>
      <c r="J236" s="276"/>
      <c r="K236" s="110"/>
      <c r="L236" s="276"/>
      <c r="M236" s="495"/>
      <c r="N236" s="170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spans="1:31" ht="15.75" customHeight="1">
      <c r="A237" s="147"/>
      <c r="B237" s="146"/>
      <c r="C237" s="146"/>
      <c r="D237" s="146"/>
      <c r="E237" s="143"/>
      <c r="F237" s="264"/>
      <c r="G237" s="264"/>
      <c r="H237" s="115"/>
      <c r="I237" s="335"/>
      <c r="J237" s="276"/>
      <c r="K237" s="110"/>
      <c r="L237" s="276"/>
      <c r="M237" s="495"/>
      <c r="N237" s="170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spans="1:31" ht="15.75" customHeight="1">
      <c r="A238" s="147"/>
      <c r="B238" s="146"/>
      <c r="C238" s="146"/>
      <c r="D238" s="146"/>
      <c r="E238" s="143"/>
      <c r="F238" s="264"/>
      <c r="G238" s="264"/>
      <c r="H238" s="115"/>
      <c r="I238" s="335"/>
      <c r="J238" s="276"/>
      <c r="K238" s="110"/>
      <c r="L238" s="276"/>
      <c r="M238" s="495"/>
      <c r="N238" s="170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spans="1:31" ht="15.75" customHeight="1">
      <c r="A239" s="496"/>
      <c r="B239" s="278" t="s">
        <v>80</v>
      </c>
      <c r="C239" s="278" t="s">
        <v>46</v>
      </c>
      <c r="D239" s="278" t="s">
        <v>46</v>
      </c>
      <c r="E239" s="497"/>
      <c r="F239" s="280" t="s">
        <v>23</v>
      </c>
      <c r="G239" s="331">
        <f>SUM(G240,G256,G277,G280,G283)</f>
        <v>219815</v>
      </c>
      <c r="H239" s="282">
        <f>G239/$G$9</f>
        <v>0.21830216598969143</v>
      </c>
      <c r="I239" s="331">
        <f>SUM(I240,I256,I277,I280,I283)</f>
        <v>332360</v>
      </c>
      <c r="J239" s="498">
        <v>0</v>
      </c>
      <c r="K239" s="331">
        <v>0</v>
      </c>
      <c r="L239" s="282">
        <v>0</v>
      </c>
      <c r="M239" s="499"/>
      <c r="N239" s="500"/>
      <c r="O239" s="501"/>
      <c r="P239" s="502"/>
      <c r="Q239" s="502"/>
      <c r="R239" s="502"/>
      <c r="S239" s="502"/>
      <c r="T239" s="502"/>
      <c r="U239" s="502"/>
      <c r="V239" s="502"/>
      <c r="W239" s="502"/>
      <c r="X239" s="502"/>
      <c r="Y239" s="502"/>
      <c r="Z239" s="502"/>
      <c r="AA239" s="502"/>
      <c r="AB239" s="502"/>
      <c r="AC239" s="502"/>
      <c r="AD239" s="502"/>
      <c r="AE239" s="502"/>
    </row>
    <row r="240" spans="1:31" ht="15.75" customHeight="1">
      <c r="A240" s="503"/>
      <c r="B240" s="352"/>
      <c r="C240" s="504" t="s">
        <v>46</v>
      </c>
      <c r="D240" s="353" t="s">
        <v>45</v>
      </c>
      <c r="E240" s="354"/>
      <c r="F240" s="505" t="s">
        <v>47</v>
      </c>
      <c r="G240" s="357">
        <f>SUM(G241:G255)</f>
        <v>30807</v>
      </c>
      <c r="H240" s="506">
        <f>G240/$G$239</f>
        <v>0.14014967131451447</v>
      </c>
      <c r="I240" s="358">
        <f>SUM(I241:I255)</f>
        <v>47900</v>
      </c>
      <c r="J240" s="293">
        <f>I240/$I$239</f>
        <v>0.14412083283186905</v>
      </c>
      <c r="K240" s="358">
        <f>SUM(K241:K255)</f>
        <v>17093</v>
      </c>
      <c r="L240" s="458">
        <f t="shared" ref="L240:L241" si="112">G240/I240</f>
        <v>0.64315240083507308</v>
      </c>
      <c r="M240" s="507"/>
      <c r="N240" s="321"/>
      <c r="O240" s="494"/>
      <c r="P240" s="507"/>
      <c r="Q240" s="507"/>
      <c r="R240" s="507"/>
      <c r="S240" s="507"/>
      <c r="T240" s="507"/>
      <c r="U240" s="507"/>
      <c r="V240" s="507"/>
      <c r="W240" s="507"/>
      <c r="X240" s="507"/>
      <c r="Y240" s="507"/>
      <c r="Z240" s="507"/>
      <c r="AA240" s="507"/>
      <c r="AB240" s="507"/>
      <c r="AC240" s="507"/>
      <c r="AD240" s="507"/>
      <c r="AE240" s="508"/>
    </row>
    <row r="241" spans="1:31" ht="15.75" customHeight="1">
      <c r="A241" s="147"/>
      <c r="B241" s="410"/>
      <c r="C241" s="410"/>
      <c r="D241" s="410"/>
      <c r="E241" s="246" t="s">
        <v>128</v>
      </c>
      <c r="F241" s="471" t="s">
        <v>129</v>
      </c>
      <c r="G241" s="110">
        <v>12000</v>
      </c>
      <c r="H241" s="115">
        <f>G241/$G$240</f>
        <v>0.38952186191449995</v>
      </c>
      <c r="I241" s="377">
        <v>12000</v>
      </c>
      <c r="J241" s="115">
        <f>I241/$I$240</f>
        <v>0.25052192066805845</v>
      </c>
      <c r="K241" s="97">
        <f>I241-G241</f>
        <v>0</v>
      </c>
      <c r="L241" s="115">
        <f t="shared" si="112"/>
        <v>1</v>
      </c>
      <c r="M241" s="264" t="s">
        <v>332</v>
      </c>
      <c r="N241" s="170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spans="1:31" ht="15.75" customHeight="1">
      <c r="A242" s="147"/>
      <c r="B242" s="410"/>
      <c r="C242" s="410"/>
      <c r="D242" s="410"/>
      <c r="E242" s="410"/>
      <c r="F242" s="474"/>
      <c r="G242" s="264"/>
      <c r="H242" s="115"/>
      <c r="I242" s="470"/>
      <c r="J242" s="115"/>
      <c r="K242" s="97"/>
      <c r="L242" s="115"/>
      <c r="M242" s="264" t="s">
        <v>333</v>
      </c>
      <c r="N242" s="170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spans="1:31" ht="15.75" customHeight="1">
      <c r="A243" s="147"/>
      <c r="B243" s="410"/>
      <c r="C243" s="410"/>
      <c r="D243" s="410"/>
      <c r="E243" s="410"/>
      <c r="F243" s="474"/>
      <c r="G243" s="264"/>
      <c r="H243" s="115"/>
      <c r="I243" s="470"/>
      <c r="J243" s="115"/>
      <c r="K243" s="97"/>
      <c r="L243" s="115"/>
      <c r="M243" s="264" t="s">
        <v>334</v>
      </c>
      <c r="N243" s="170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spans="1:31" ht="15.75" customHeight="1">
      <c r="A244" s="147"/>
      <c r="B244" s="410"/>
      <c r="C244" s="410"/>
      <c r="D244" s="410"/>
      <c r="E244" s="410"/>
      <c r="F244" s="474"/>
      <c r="G244" s="264"/>
      <c r="H244" s="115"/>
      <c r="I244" s="470"/>
      <c r="J244" s="115"/>
      <c r="K244" s="97"/>
      <c r="L244" s="115"/>
      <c r="M244" s="264" t="s">
        <v>335</v>
      </c>
      <c r="N244" s="170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spans="1:31" ht="15.75" customHeight="1">
      <c r="A245" s="147"/>
      <c r="B245" s="410"/>
      <c r="C245" s="410"/>
      <c r="D245" s="410"/>
      <c r="E245" s="410"/>
      <c r="F245" s="474"/>
      <c r="G245" s="264"/>
      <c r="H245" s="115"/>
      <c r="I245" s="470"/>
      <c r="J245" s="115"/>
      <c r="K245" s="97"/>
      <c r="L245" s="115"/>
      <c r="M245" s="264" t="s">
        <v>336</v>
      </c>
      <c r="N245" s="170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spans="1:31" ht="15.75" customHeight="1">
      <c r="A246" s="147"/>
      <c r="B246" s="410"/>
      <c r="C246" s="410"/>
      <c r="D246" s="410"/>
      <c r="E246" s="410"/>
      <c r="F246" s="474"/>
      <c r="G246" s="264"/>
      <c r="H246" s="115"/>
      <c r="I246" s="470"/>
      <c r="J246" s="115"/>
      <c r="K246" s="97"/>
      <c r="L246" s="115"/>
      <c r="M246" s="264" t="s">
        <v>337</v>
      </c>
      <c r="N246" s="170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spans="1:31" ht="15.75" customHeight="1">
      <c r="A247" s="147"/>
      <c r="B247" s="410"/>
      <c r="C247" s="410"/>
      <c r="D247" s="410"/>
      <c r="E247" s="246" t="s">
        <v>224</v>
      </c>
      <c r="F247" s="471" t="s">
        <v>225</v>
      </c>
      <c r="G247" s="264">
        <v>0</v>
      </c>
      <c r="H247" s="115">
        <f t="shared" ref="H247:H248" si="113">G247/$G$240</f>
        <v>0</v>
      </c>
      <c r="I247" s="377">
        <v>500</v>
      </c>
      <c r="J247" s="115">
        <f t="shared" ref="J247:J248" si="114">I247/$I$240</f>
        <v>1.0438413361169102E-2</v>
      </c>
      <c r="K247" s="97">
        <f t="shared" ref="K247:K248" si="115">I247-G247</f>
        <v>500</v>
      </c>
      <c r="L247" s="115">
        <f t="shared" ref="L247:L248" si="116">G247/I247</f>
        <v>0</v>
      </c>
      <c r="M247" s="264" t="s">
        <v>338</v>
      </c>
      <c r="N247" s="170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spans="1:31" ht="15.75" customHeight="1">
      <c r="A248" s="147"/>
      <c r="B248" s="410"/>
      <c r="C248" s="410"/>
      <c r="D248" s="410"/>
      <c r="E248" s="246" t="s">
        <v>134</v>
      </c>
      <c r="F248" s="471" t="s">
        <v>135</v>
      </c>
      <c r="G248" s="110">
        <v>5500</v>
      </c>
      <c r="H248" s="115">
        <f t="shared" si="113"/>
        <v>0.17853085337747915</v>
      </c>
      <c r="I248" s="308">
        <v>6000</v>
      </c>
      <c r="J248" s="115">
        <f t="shared" si="114"/>
        <v>0.12526096033402923</v>
      </c>
      <c r="K248" s="97">
        <f t="shared" si="115"/>
        <v>500</v>
      </c>
      <c r="L248" s="115">
        <f t="shared" si="116"/>
        <v>0.91666666666666663</v>
      </c>
      <c r="M248" s="264" t="s">
        <v>169</v>
      </c>
      <c r="N248" s="170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spans="1:31" ht="15.75" customHeight="1">
      <c r="A249" s="147"/>
      <c r="B249" s="410"/>
      <c r="C249" s="410"/>
      <c r="D249" s="410"/>
      <c r="E249" s="410"/>
      <c r="F249" s="474"/>
      <c r="G249" s="264"/>
      <c r="H249" s="115"/>
      <c r="I249" s="470"/>
      <c r="J249" s="115"/>
      <c r="K249" s="97"/>
      <c r="L249" s="115"/>
      <c r="M249" s="264" t="s">
        <v>339</v>
      </c>
      <c r="N249" s="170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spans="1:31" ht="15.75" customHeight="1">
      <c r="A250" s="147"/>
      <c r="B250" s="410"/>
      <c r="C250" s="410"/>
      <c r="D250" s="410"/>
      <c r="E250" s="246" t="s">
        <v>138</v>
      </c>
      <c r="F250" s="471" t="s">
        <v>139</v>
      </c>
      <c r="G250" s="110">
        <v>6307</v>
      </c>
      <c r="H250" s="115">
        <f>G250/$G$240</f>
        <v>0.20472619859122926</v>
      </c>
      <c r="I250" s="377">
        <v>8900</v>
      </c>
      <c r="J250" s="115">
        <f>I250/$I$240</f>
        <v>0.18580375782881003</v>
      </c>
      <c r="K250" s="97">
        <f>I250-G250</f>
        <v>2593</v>
      </c>
      <c r="L250" s="115">
        <f>G250/I250</f>
        <v>0.7086516853932584</v>
      </c>
      <c r="M250" s="264" t="s">
        <v>340</v>
      </c>
      <c r="N250" s="170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spans="1:31" ht="15.75" customHeight="1">
      <c r="A251" s="147"/>
      <c r="B251" s="410"/>
      <c r="C251" s="410"/>
      <c r="D251" s="410"/>
      <c r="E251" s="410"/>
      <c r="F251" s="474"/>
      <c r="G251" s="264"/>
      <c r="H251" s="115"/>
      <c r="I251" s="470"/>
      <c r="J251" s="115"/>
      <c r="K251" s="97"/>
      <c r="L251" s="115"/>
      <c r="M251" s="264" t="s">
        <v>341</v>
      </c>
      <c r="N251" s="170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spans="1:31" ht="15.75" customHeight="1">
      <c r="A252" s="147"/>
      <c r="B252" s="410"/>
      <c r="C252" s="410"/>
      <c r="D252" s="410"/>
      <c r="E252" s="410"/>
      <c r="F252" s="474"/>
      <c r="G252" s="264"/>
      <c r="H252" s="115"/>
      <c r="I252" s="470"/>
      <c r="J252" s="115"/>
      <c r="K252" s="97"/>
      <c r="L252" s="115"/>
      <c r="M252" s="264" t="s">
        <v>342</v>
      </c>
      <c r="N252" s="170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spans="1:31" ht="15.75" customHeight="1">
      <c r="A253" s="147"/>
      <c r="B253" s="410"/>
      <c r="C253" s="410"/>
      <c r="D253" s="410"/>
      <c r="E253" s="246" t="s">
        <v>170</v>
      </c>
      <c r="F253" s="471" t="s">
        <v>144</v>
      </c>
      <c r="G253" s="110">
        <v>7000</v>
      </c>
      <c r="H253" s="115">
        <f>G253/$G$240</f>
        <v>0.22722108611679165</v>
      </c>
      <c r="I253" s="377">
        <v>20000</v>
      </c>
      <c r="J253" s="115">
        <f>I253/$I$240</f>
        <v>0.41753653444676408</v>
      </c>
      <c r="K253" s="97">
        <f>I253-G253</f>
        <v>13000</v>
      </c>
      <c r="L253" s="115">
        <f>G253/I253</f>
        <v>0.35</v>
      </c>
      <c r="M253" s="264" t="s">
        <v>343</v>
      </c>
      <c r="N253" s="170"/>
      <c r="O253" s="3" t="s">
        <v>344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spans="1:31" ht="15.75" customHeight="1">
      <c r="A254" s="147"/>
      <c r="B254" s="410"/>
      <c r="C254" s="410"/>
      <c r="D254" s="410"/>
      <c r="E254" s="410"/>
      <c r="F254" s="474"/>
      <c r="G254" s="264"/>
      <c r="H254" s="115"/>
      <c r="I254" s="470"/>
      <c r="J254" s="115"/>
      <c r="K254" s="97"/>
      <c r="L254" s="115"/>
      <c r="M254" s="264" t="s">
        <v>345</v>
      </c>
      <c r="N254" s="170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spans="1:31" ht="15.75" customHeight="1">
      <c r="A255" s="147"/>
      <c r="B255" s="410"/>
      <c r="C255" s="410"/>
      <c r="D255" s="410"/>
      <c r="E255" s="246" t="s">
        <v>149</v>
      </c>
      <c r="F255" s="471" t="s">
        <v>150</v>
      </c>
      <c r="G255" s="264">
        <v>0</v>
      </c>
      <c r="H255" s="115">
        <f>G255/$G$240</f>
        <v>0</v>
      </c>
      <c r="I255" s="377">
        <v>500</v>
      </c>
      <c r="J255" s="115">
        <f>I255/$I$240</f>
        <v>1.0438413361169102E-2</v>
      </c>
      <c r="K255" s="97">
        <f>I255-G255</f>
        <v>500</v>
      </c>
      <c r="L255" s="115">
        <f t="shared" ref="L255:L257" si="117">G255/I255</f>
        <v>0</v>
      </c>
      <c r="M255" s="264" t="s">
        <v>346</v>
      </c>
      <c r="N255" s="170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spans="1:31" ht="15.75" customHeight="1">
      <c r="A256" s="503"/>
      <c r="B256" s="352"/>
      <c r="C256" s="504" t="s">
        <v>46</v>
      </c>
      <c r="D256" s="353" t="s">
        <v>48</v>
      </c>
      <c r="E256" s="354"/>
      <c r="F256" s="505" t="s">
        <v>81</v>
      </c>
      <c r="G256" s="357">
        <f>SUM(G257:G276)</f>
        <v>155003</v>
      </c>
      <c r="H256" s="506">
        <f>G256/$G$239</f>
        <v>0.70515205968655459</v>
      </c>
      <c r="I256" s="509">
        <f>SUM(I257:I276)-80000</f>
        <v>235842</v>
      </c>
      <c r="J256" s="293">
        <f>I256/$I$239</f>
        <v>0.70959802623661095</v>
      </c>
      <c r="K256" s="509">
        <f>SUM(K257:K276)-80000</f>
        <v>80839</v>
      </c>
      <c r="L256" s="458">
        <f t="shared" si="117"/>
        <v>0.65723238439294107</v>
      </c>
      <c r="M256" s="507"/>
      <c r="N256" s="510" t="s">
        <v>347</v>
      </c>
      <c r="O256" s="511"/>
      <c r="P256" s="507"/>
      <c r="Q256" s="507"/>
      <c r="R256" s="507"/>
      <c r="S256" s="507"/>
      <c r="T256" s="507"/>
      <c r="U256" s="507"/>
      <c r="V256" s="507"/>
      <c r="W256" s="507"/>
      <c r="X256" s="507"/>
      <c r="Y256" s="507"/>
      <c r="Z256" s="507"/>
      <c r="AA256" s="507"/>
      <c r="AB256" s="507"/>
      <c r="AC256" s="507"/>
      <c r="AD256" s="507"/>
      <c r="AE256" s="508"/>
    </row>
    <row r="257" spans="1:31" ht="15.75" customHeight="1">
      <c r="A257" s="147"/>
      <c r="B257" s="410"/>
      <c r="C257" s="410"/>
      <c r="D257" s="410"/>
      <c r="E257" s="246" t="s">
        <v>348</v>
      </c>
      <c r="F257" s="471" t="s">
        <v>349</v>
      </c>
      <c r="G257" s="110">
        <v>85037</v>
      </c>
      <c r="H257" s="115">
        <f>G257/$G$256</f>
        <v>0.5486151880931337</v>
      </c>
      <c r="I257" s="377">
        <v>224342</v>
      </c>
      <c r="J257" s="115">
        <f>I257/$I$256</f>
        <v>0.95123854105714845</v>
      </c>
      <c r="K257" s="97">
        <f>I257-G257</f>
        <v>139305</v>
      </c>
      <c r="L257" s="115">
        <f t="shared" si="117"/>
        <v>0.37905073503846803</v>
      </c>
      <c r="M257" s="264" t="s">
        <v>350</v>
      </c>
      <c r="N257" s="170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spans="1:31" ht="15.75" customHeight="1">
      <c r="A258" s="147"/>
      <c r="B258" s="410"/>
      <c r="C258" s="410"/>
      <c r="D258" s="410"/>
      <c r="E258" s="410"/>
      <c r="F258" s="474"/>
      <c r="G258" s="264"/>
      <c r="H258" s="115"/>
      <c r="I258" s="470"/>
      <c r="J258" s="115"/>
      <c r="K258" s="97"/>
      <c r="L258" s="115"/>
      <c r="M258" s="264" t="s">
        <v>351</v>
      </c>
      <c r="N258" s="170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spans="1:31" ht="15.75" customHeight="1">
      <c r="A259" s="147"/>
      <c r="B259" s="410"/>
      <c r="C259" s="410"/>
      <c r="D259" s="410"/>
      <c r="E259" s="410"/>
      <c r="F259" s="474"/>
      <c r="G259" s="264"/>
      <c r="H259" s="115"/>
      <c r="I259" s="470"/>
      <c r="J259" s="115"/>
      <c r="K259" s="97"/>
      <c r="L259" s="115"/>
      <c r="M259" s="264" t="s">
        <v>352</v>
      </c>
      <c r="N259" s="170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spans="1:31" ht="15.75" customHeight="1">
      <c r="A260" s="147"/>
      <c r="B260" s="410"/>
      <c r="C260" s="410"/>
      <c r="D260" s="410"/>
      <c r="E260" s="410"/>
      <c r="F260" s="474"/>
      <c r="G260" s="264"/>
      <c r="H260" s="115"/>
      <c r="I260" s="470"/>
      <c r="J260" s="115"/>
      <c r="K260" s="97"/>
      <c r="L260" s="115"/>
      <c r="M260" s="264" t="s">
        <v>353</v>
      </c>
      <c r="N260" s="170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spans="1:31" ht="15.75" customHeight="1">
      <c r="A261" s="147"/>
      <c r="B261" s="410"/>
      <c r="C261" s="410"/>
      <c r="D261" s="410"/>
      <c r="E261" s="410"/>
      <c r="F261" s="474"/>
      <c r="G261" s="264"/>
      <c r="H261" s="115"/>
      <c r="I261" s="470"/>
      <c r="J261" s="115"/>
      <c r="K261" s="97"/>
      <c r="L261" s="115"/>
      <c r="M261" s="264" t="s">
        <v>354</v>
      </c>
      <c r="N261" s="170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spans="1:31" ht="15.75" customHeight="1">
      <c r="A262" s="147"/>
      <c r="B262" s="410"/>
      <c r="C262" s="410"/>
      <c r="D262" s="410"/>
      <c r="E262" s="410"/>
      <c r="F262" s="474"/>
      <c r="G262" s="264"/>
      <c r="H262" s="115"/>
      <c r="I262" s="470"/>
      <c r="J262" s="115"/>
      <c r="K262" s="97"/>
      <c r="L262" s="115"/>
      <c r="M262" s="264" t="s">
        <v>355</v>
      </c>
      <c r="N262" s="170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spans="1:31" ht="15.75" customHeight="1">
      <c r="A263" s="147"/>
      <c r="B263" s="410"/>
      <c r="C263" s="410"/>
      <c r="D263" s="410"/>
      <c r="E263" s="410"/>
      <c r="F263" s="474"/>
      <c r="G263" s="264"/>
      <c r="H263" s="115"/>
      <c r="I263" s="470"/>
      <c r="J263" s="115"/>
      <c r="K263" s="97"/>
      <c r="L263" s="115"/>
      <c r="M263" s="264" t="s">
        <v>356</v>
      </c>
      <c r="N263" s="170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spans="1:31" ht="15.75" customHeight="1">
      <c r="A264" s="147"/>
      <c r="B264" s="410"/>
      <c r="C264" s="410"/>
      <c r="D264" s="410"/>
      <c r="E264" s="246" t="s">
        <v>357</v>
      </c>
      <c r="F264" s="471" t="s">
        <v>358</v>
      </c>
      <c r="G264" s="264">
        <v>0</v>
      </c>
      <c r="H264" s="115">
        <f t="shared" ref="H264:H266" si="118">G264/$G$256</f>
        <v>0</v>
      </c>
      <c r="I264" s="377">
        <v>5000</v>
      </c>
      <c r="J264" s="115">
        <f t="shared" ref="J264:J266" si="119">I264/$I$256</f>
        <v>2.1200634322978945E-2</v>
      </c>
      <c r="K264" s="97">
        <f t="shared" ref="K264:K266" si="120">I264-G264</f>
        <v>5000</v>
      </c>
      <c r="L264" s="115">
        <f t="shared" ref="L264:L266" si="121">G264/I264</f>
        <v>0</v>
      </c>
      <c r="M264" s="264" t="s">
        <v>359</v>
      </c>
      <c r="N264" s="170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spans="1:31" ht="15.75" customHeight="1">
      <c r="A265" s="147"/>
      <c r="B265" s="410"/>
      <c r="C265" s="410"/>
      <c r="D265" s="410"/>
      <c r="E265" s="246" t="s">
        <v>360</v>
      </c>
      <c r="F265" s="471" t="s">
        <v>361</v>
      </c>
      <c r="G265" s="264">
        <v>0</v>
      </c>
      <c r="H265" s="115">
        <f t="shared" si="118"/>
        <v>0</v>
      </c>
      <c r="I265" s="377">
        <v>2000</v>
      </c>
      <c r="J265" s="115">
        <f t="shared" si="119"/>
        <v>8.480253729191577E-3</v>
      </c>
      <c r="K265" s="97">
        <f t="shared" si="120"/>
        <v>2000</v>
      </c>
      <c r="L265" s="115">
        <f t="shared" si="121"/>
        <v>0</v>
      </c>
      <c r="M265" s="264" t="s">
        <v>362</v>
      </c>
      <c r="N265" s="170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spans="1:31" ht="15.75" customHeight="1">
      <c r="A266" s="147"/>
      <c r="B266" s="410"/>
      <c r="C266" s="410"/>
      <c r="D266" s="410"/>
      <c r="E266" s="246" t="s">
        <v>138</v>
      </c>
      <c r="F266" s="471" t="s">
        <v>139</v>
      </c>
      <c r="G266" s="110">
        <v>8195</v>
      </c>
      <c r="H266" s="115">
        <f t="shared" si="118"/>
        <v>5.2869944452688014E-2</v>
      </c>
      <c r="I266" s="377">
        <v>10000</v>
      </c>
      <c r="J266" s="115">
        <f t="shared" si="119"/>
        <v>4.240126864595789E-2</v>
      </c>
      <c r="K266" s="97">
        <f t="shared" si="120"/>
        <v>1805</v>
      </c>
      <c r="L266" s="115">
        <f t="shared" si="121"/>
        <v>0.81950000000000001</v>
      </c>
      <c r="M266" s="264" t="s">
        <v>363</v>
      </c>
      <c r="N266" s="170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spans="1:31" ht="15.75" customHeight="1">
      <c r="A267" s="147"/>
      <c r="B267" s="410"/>
      <c r="C267" s="410"/>
      <c r="D267" s="410"/>
      <c r="E267" s="410"/>
      <c r="F267" s="474"/>
      <c r="G267" s="264"/>
      <c r="H267" s="115"/>
      <c r="I267" s="470"/>
      <c r="J267" s="115"/>
      <c r="K267" s="97"/>
      <c r="L267" s="115"/>
      <c r="M267" s="264" t="s">
        <v>364</v>
      </c>
      <c r="N267" s="170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spans="1:31" ht="15.75" customHeight="1">
      <c r="A268" s="147"/>
      <c r="B268" s="410"/>
      <c r="C268" s="410"/>
      <c r="D268" s="410"/>
      <c r="E268" s="410"/>
      <c r="F268" s="474"/>
      <c r="G268" s="264"/>
      <c r="H268" s="115"/>
      <c r="I268" s="470"/>
      <c r="J268" s="115"/>
      <c r="K268" s="97"/>
      <c r="L268" s="115"/>
      <c r="M268" s="264" t="s">
        <v>365</v>
      </c>
      <c r="N268" s="170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spans="1:31" ht="15.75" customHeight="1">
      <c r="A269" s="147"/>
      <c r="B269" s="410"/>
      <c r="C269" s="410"/>
      <c r="D269" s="410"/>
      <c r="E269" s="410"/>
      <c r="F269" s="474"/>
      <c r="G269" s="264"/>
      <c r="H269" s="115"/>
      <c r="I269" s="470"/>
      <c r="J269" s="115"/>
      <c r="K269" s="97"/>
      <c r="L269" s="115"/>
      <c r="M269" s="264" t="s">
        <v>366</v>
      </c>
      <c r="N269" s="170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spans="1:31" ht="15.75" customHeight="1">
      <c r="A270" s="147"/>
      <c r="B270" s="410"/>
      <c r="C270" s="410"/>
      <c r="D270" s="410"/>
      <c r="E270" s="246" t="s">
        <v>170</v>
      </c>
      <c r="F270" s="471" t="s">
        <v>171</v>
      </c>
      <c r="G270" s="110">
        <v>5000</v>
      </c>
      <c r="H270" s="115">
        <f t="shared" ref="H270:H271" si="122">G270/$G$256</f>
        <v>3.2257440178577186E-2</v>
      </c>
      <c r="I270" s="377">
        <v>5000</v>
      </c>
      <c r="J270" s="115">
        <f t="shared" ref="J270:J271" si="123">I270/$I$256</f>
        <v>2.1200634322978945E-2</v>
      </c>
      <c r="K270" s="97">
        <f t="shared" ref="K270:K271" si="124">I270-G270</f>
        <v>0</v>
      </c>
      <c r="L270" s="115">
        <f t="shared" ref="L270:L271" si="125">G270/I270</f>
        <v>1</v>
      </c>
      <c r="M270" s="264" t="s">
        <v>367</v>
      </c>
      <c r="N270" s="170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spans="1:31" ht="15.75" customHeight="1">
      <c r="A271" s="147"/>
      <c r="B271" s="410"/>
      <c r="C271" s="410"/>
      <c r="D271" s="410"/>
      <c r="E271" s="246" t="s">
        <v>174</v>
      </c>
      <c r="F271" s="471" t="s">
        <v>175</v>
      </c>
      <c r="G271" s="110">
        <v>24000</v>
      </c>
      <c r="H271" s="115">
        <f t="shared" si="122"/>
        <v>0.15483571285717052</v>
      </c>
      <c r="I271" s="377">
        <v>24000</v>
      </c>
      <c r="J271" s="115">
        <f t="shared" si="123"/>
        <v>0.10176304475029893</v>
      </c>
      <c r="K271" s="97">
        <f t="shared" si="124"/>
        <v>0</v>
      </c>
      <c r="L271" s="115">
        <f t="shared" si="125"/>
        <v>1</v>
      </c>
      <c r="M271" s="264" t="s">
        <v>368</v>
      </c>
      <c r="N271" s="170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spans="1:31" ht="15.75" customHeight="1">
      <c r="A272" s="147"/>
      <c r="B272" s="410"/>
      <c r="C272" s="410"/>
      <c r="D272" s="410"/>
      <c r="E272" s="410"/>
      <c r="F272" s="474"/>
      <c r="G272" s="264"/>
      <c r="H272" s="115"/>
      <c r="I272" s="470"/>
      <c r="J272" s="115"/>
      <c r="K272" s="97"/>
      <c r="L272" s="115"/>
      <c r="M272" s="264" t="s">
        <v>369</v>
      </c>
      <c r="N272" s="170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spans="1:31" ht="15.75" customHeight="1">
      <c r="A273" s="147"/>
      <c r="B273" s="410"/>
      <c r="C273" s="410"/>
      <c r="D273" s="410"/>
      <c r="E273" s="246" t="s">
        <v>370</v>
      </c>
      <c r="F273" s="471" t="s">
        <v>371</v>
      </c>
      <c r="G273" s="110">
        <v>4071</v>
      </c>
      <c r="H273" s="115">
        <f t="shared" ref="H273:H276" si="126">G273/$G$256</f>
        <v>2.6264007793397548E-2</v>
      </c>
      <c r="I273" s="377">
        <v>11000</v>
      </c>
      <c r="J273" s="115">
        <f t="shared" ref="J273:J276" si="127">I273/$I$256</f>
        <v>4.6641395510553678E-2</v>
      </c>
      <c r="K273" s="97">
        <f t="shared" ref="K273:K276" si="128">I273-G273</f>
        <v>6929</v>
      </c>
      <c r="L273" s="115">
        <f t="shared" ref="L273:L281" si="129">G273/I273</f>
        <v>0.37009090909090908</v>
      </c>
      <c r="M273" s="264" t="s">
        <v>372</v>
      </c>
      <c r="N273" s="170"/>
      <c r="O273" s="3" t="s">
        <v>373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spans="1:31" ht="15.75" customHeight="1">
      <c r="A274" s="147"/>
      <c r="B274" s="410"/>
      <c r="C274" s="410"/>
      <c r="D274" s="410"/>
      <c r="E274" s="246" t="s">
        <v>180</v>
      </c>
      <c r="F274" s="471" t="s">
        <v>181</v>
      </c>
      <c r="G274" s="110">
        <v>1500</v>
      </c>
      <c r="H274" s="115">
        <f t="shared" si="126"/>
        <v>9.6772320535731572E-3</v>
      </c>
      <c r="I274" s="377">
        <v>1500</v>
      </c>
      <c r="J274" s="115">
        <f t="shared" si="127"/>
        <v>6.3601902968936832E-3</v>
      </c>
      <c r="K274" s="97">
        <f t="shared" si="128"/>
        <v>0</v>
      </c>
      <c r="L274" s="115">
        <f t="shared" si="129"/>
        <v>1</v>
      </c>
      <c r="M274" s="264" t="s">
        <v>374</v>
      </c>
      <c r="N274" s="170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spans="1:31" ht="15.75" customHeight="1">
      <c r="A275" s="147"/>
      <c r="B275" s="410"/>
      <c r="C275" s="410"/>
      <c r="D275" s="410"/>
      <c r="E275" s="246" t="s">
        <v>201</v>
      </c>
      <c r="F275" s="471" t="s">
        <v>202</v>
      </c>
      <c r="G275" s="264">
        <v>0</v>
      </c>
      <c r="H275" s="115">
        <f t="shared" si="126"/>
        <v>0</v>
      </c>
      <c r="I275" s="377">
        <v>1000</v>
      </c>
      <c r="J275" s="115">
        <f t="shared" si="127"/>
        <v>4.2401268645957885E-3</v>
      </c>
      <c r="K275" s="97">
        <f t="shared" si="128"/>
        <v>1000</v>
      </c>
      <c r="L275" s="115">
        <f t="shared" si="129"/>
        <v>0</v>
      </c>
      <c r="M275" s="264" t="s">
        <v>375</v>
      </c>
      <c r="N275" s="170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spans="1:31" ht="15.75" customHeight="1">
      <c r="A276" s="147"/>
      <c r="B276" s="410"/>
      <c r="C276" s="410"/>
      <c r="D276" s="410"/>
      <c r="E276" s="246" t="s">
        <v>376</v>
      </c>
      <c r="F276" s="471" t="s">
        <v>377</v>
      </c>
      <c r="G276" s="110">
        <v>27200</v>
      </c>
      <c r="H276" s="115">
        <f t="shared" si="126"/>
        <v>0.1754804745714599</v>
      </c>
      <c r="I276" s="377">
        <v>32000</v>
      </c>
      <c r="J276" s="115">
        <f t="shared" si="127"/>
        <v>0.13568405966706523</v>
      </c>
      <c r="K276" s="97">
        <f t="shared" si="128"/>
        <v>4800</v>
      </c>
      <c r="L276" s="115">
        <f t="shared" si="129"/>
        <v>0.85</v>
      </c>
      <c r="M276" s="264" t="s">
        <v>378</v>
      </c>
      <c r="N276" s="170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spans="1:31" ht="15.75" customHeight="1">
      <c r="A277" s="503"/>
      <c r="B277" s="352"/>
      <c r="C277" s="504" t="s">
        <v>46</v>
      </c>
      <c r="D277" s="353" t="s">
        <v>52</v>
      </c>
      <c r="E277" s="354"/>
      <c r="F277" s="505" t="s">
        <v>82</v>
      </c>
      <c r="G277" s="357">
        <f>SUM(G278:G279)</f>
        <v>28000</v>
      </c>
      <c r="H277" s="506">
        <f>G277/$G$239</f>
        <v>0.12737984213998135</v>
      </c>
      <c r="I277" s="512">
        <f>SUM(I278:I279)</f>
        <v>28000</v>
      </c>
      <c r="J277" s="293">
        <f>I277/$I$239</f>
        <v>8.4245998315080034E-2</v>
      </c>
      <c r="K277" s="513">
        <f>SUM(K278:K279)</f>
        <v>0</v>
      </c>
      <c r="L277" s="458">
        <f t="shared" si="129"/>
        <v>1</v>
      </c>
      <c r="M277" s="507"/>
      <c r="N277" s="510"/>
      <c r="O277" s="511"/>
      <c r="P277" s="507"/>
      <c r="Q277" s="507"/>
      <c r="R277" s="507"/>
      <c r="S277" s="507"/>
      <c r="T277" s="507"/>
      <c r="U277" s="507"/>
      <c r="V277" s="507"/>
      <c r="W277" s="507"/>
      <c r="X277" s="507"/>
      <c r="Y277" s="507"/>
      <c r="Z277" s="507"/>
      <c r="AA277" s="507"/>
      <c r="AB277" s="507"/>
      <c r="AC277" s="507"/>
      <c r="AD277" s="507"/>
      <c r="AE277" s="508"/>
    </row>
    <row r="278" spans="1:31" ht="15.75" customHeight="1">
      <c r="A278" s="147"/>
      <c r="B278" s="410"/>
      <c r="C278" s="410"/>
      <c r="D278" s="410"/>
      <c r="E278" s="246" t="s">
        <v>128</v>
      </c>
      <c r="F278" s="471" t="s">
        <v>129</v>
      </c>
      <c r="G278" s="110">
        <v>25000</v>
      </c>
      <c r="H278" s="115">
        <f t="shared" ref="H278:H279" si="130">G278/$G$277</f>
        <v>0.8928571428571429</v>
      </c>
      <c r="I278" s="377">
        <v>25000</v>
      </c>
      <c r="J278" s="115">
        <f t="shared" ref="J278:J279" si="131">I278/$I$277</f>
        <v>0.8928571428571429</v>
      </c>
      <c r="K278" s="97">
        <f t="shared" ref="K278:K279" si="132">I278-G278</f>
        <v>0</v>
      </c>
      <c r="L278" s="115">
        <f t="shared" si="129"/>
        <v>1</v>
      </c>
      <c r="M278" s="264" t="s">
        <v>379</v>
      </c>
      <c r="N278" s="170" t="s">
        <v>380</v>
      </c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spans="1:31" ht="15.75" customHeight="1">
      <c r="A279" s="147"/>
      <c r="B279" s="297"/>
      <c r="C279" s="297"/>
      <c r="D279" s="297"/>
      <c r="E279" s="143" t="s">
        <v>152</v>
      </c>
      <c r="F279" s="467" t="s">
        <v>153</v>
      </c>
      <c r="G279" s="110">
        <v>3000</v>
      </c>
      <c r="H279" s="115">
        <f t="shared" si="130"/>
        <v>0.10714285714285714</v>
      </c>
      <c r="I279" s="335">
        <v>3000</v>
      </c>
      <c r="J279" s="115">
        <f t="shared" si="131"/>
        <v>0.10714285714285714</v>
      </c>
      <c r="K279" s="97">
        <f t="shared" si="132"/>
        <v>0</v>
      </c>
      <c r="L279" s="115">
        <f t="shared" si="129"/>
        <v>1</v>
      </c>
      <c r="M279" s="264" t="s">
        <v>381</v>
      </c>
      <c r="N279" s="170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spans="1:31" ht="15.75" customHeight="1">
      <c r="A280" s="503"/>
      <c r="B280" s="352"/>
      <c r="C280" s="504" t="s">
        <v>46</v>
      </c>
      <c r="D280" s="353" t="s">
        <v>53</v>
      </c>
      <c r="E280" s="354"/>
      <c r="F280" s="505" t="s">
        <v>83</v>
      </c>
      <c r="G280" s="358">
        <f>SUM(G281)</f>
        <v>0</v>
      </c>
      <c r="H280" s="506">
        <f>G280/$G$239</f>
        <v>0</v>
      </c>
      <c r="I280" s="357">
        <f>SUM(I281)</f>
        <v>4000</v>
      </c>
      <c r="J280" s="293">
        <f>I280/$I$239</f>
        <v>1.2035142616440005E-2</v>
      </c>
      <c r="K280" s="318">
        <f>SUM(K281)</f>
        <v>4000</v>
      </c>
      <c r="L280" s="458">
        <f t="shared" si="129"/>
        <v>0</v>
      </c>
      <c r="M280" s="511"/>
      <c r="N280" s="510"/>
      <c r="O280" s="511"/>
      <c r="P280" s="507"/>
      <c r="Q280" s="507"/>
      <c r="R280" s="507"/>
      <c r="S280" s="507"/>
      <c r="T280" s="507"/>
      <c r="U280" s="507"/>
      <c r="V280" s="507"/>
      <c r="W280" s="507"/>
      <c r="X280" s="507"/>
      <c r="Y280" s="507"/>
      <c r="Z280" s="507"/>
      <c r="AA280" s="507"/>
      <c r="AB280" s="507"/>
      <c r="AC280" s="507"/>
      <c r="AD280" s="507"/>
      <c r="AE280" s="508"/>
    </row>
    <row r="281" spans="1:31" ht="15.75" customHeight="1">
      <c r="A281" s="147"/>
      <c r="B281" s="410"/>
      <c r="C281" s="410"/>
      <c r="D281" s="410"/>
      <c r="E281" s="246" t="s">
        <v>128</v>
      </c>
      <c r="F281" s="471" t="s">
        <v>129</v>
      </c>
      <c r="G281" s="264">
        <v>0</v>
      </c>
      <c r="H281" s="115">
        <v>0</v>
      </c>
      <c r="I281" s="335">
        <v>4000</v>
      </c>
      <c r="J281" s="115">
        <f>I281/$I$280</f>
        <v>1</v>
      </c>
      <c r="K281" s="97">
        <f>I281-G281</f>
        <v>4000</v>
      </c>
      <c r="L281" s="115">
        <f t="shared" si="129"/>
        <v>0</v>
      </c>
      <c r="M281" s="264" t="s">
        <v>382</v>
      </c>
      <c r="N281" s="170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spans="1:31" ht="15.75" customHeight="1">
      <c r="A282" s="147"/>
      <c r="B282" s="410"/>
      <c r="C282" s="410"/>
      <c r="D282" s="410"/>
      <c r="E282" s="410"/>
      <c r="F282" s="410"/>
      <c r="G282" s="264"/>
      <c r="H282" s="115"/>
      <c r="I282" s="514"/>
      <c r="J282" s="115"/>
      <c r="K282" s="97"/>
      <c r="L282" s="115"/>
      <c r="M282" s="264"/>
      <c r="N282" s="170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spans="1:31" ht="15.75" customHeight="1">
      <c r="A283" s="503"/>
      <c r="B283" s="352"/>
      <c r="C283" s="504" t="s">
        <v>50</v>
      </c>
      <c r="D283" s="353" t="s">
        <v>50</v>
      </c>
      <c r="E283" s="354"/>
      <c r="F283" s="505" t="s">
        <v>51</v>
      </c>
      <c r="G283" s="357">
        <v>6005</v>
      </c>
      <c r="H283" s="506">
        <f>G283/$G$239</f>
        <v>2.7318426858949571E-2</v>
      </c>
      <c r="I283" s="357">
        <f>ROUND((I240+I256+I277+I280)/95*5,0)</f>
        <v>16618</v>
      </c>
      <c r="J283" s="293">
        <f>I283/$I$239</f>
        <v>0.05</v>
      </c>
      <c r="K283" s="318">
        <f>I283-G283</f>
        <v>10613</v>
      </c>
      <c r="L283" s="458">
        <f>G283/I283</f>
        <v>0.36135515705861115</v>
      </c>
      <c r="M283" s="511" t="s">
        <v>164</v>
      </c>
      <c r="N283" s="510"/>
      <c r="O283" s="511"/>
      <c r="P283" s="507"/>
      <c r="Q283" s="507"/>
      <c r="R283" s="507"/>
      <c r="S283" s="507"/>
      <c r="T283" s="507"/>
      <c r="U283" s="507"/>
      <c r="V283" s="507"/>
      <c r="W283" s="507"/>
      <c r="X283" s="507"/>
      <c r="Y283" s="507"/>
      <c r="Z283" s="507"/>
      <c r="AA283" s="507"/>
      <c r="AB283" s="507"/>
      <c r="AC283" s="507"/>
      <c r="AD283" s="507"/>
      <c r="AE283" s="508"/>
    </row>
    <row r="284" spans="1:31" ht="15.75" customHeight="1">
      <c r="A284" s="147"/>
      <c r="B284" s="146"/>
      <c r="C284" s="146"/>
      <c r="D284" s="146"/>
      <c r="E284" s="143"/>
      <c r="F284" s="264"/>
      <c r="G284" s="264"/>
      <c r="H284" s="115"/>
      <c r="I284" s="335"/>
      <c r="J284" s="115"/>
      <c r="K284" s="97"/>
      <c r="L284" s="115"/>
      <c r="M284" s="264"/>
      <c r="N284" s="170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spans="1:31" ht="15.75" customHeight="1">
      <c r="A285" s="147"/>
      <c r="B285" s="146"/>
      <c r="C285" s="146"/>
      <c r="D285" s="146"/>
      <c r="E285" s="143"/>
      <c r="F285" s="264"/>
      <c r="G285" s="264"/>
      <c r="H285" s="115"/>
      <c r="I285" s="335"/>
      <c r="J285" s="115"/>
      <c r="K285" s="97"/>
      <c r="L285" s="115"/>
      <c r="M285" s="264"/>
      <c r="N285" s="170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spans="1:31" ht="15.75" customHeight="1">
      <c r="A286" s="147"/>
      <c r="B286" s="146"/>
      <c r="C286" s="146"/>
      <c r="D286" s="146"/>
      <c r="E286" s="143"/>
      <c r="F286" s="264"/>
      <c r="G286" s="264"/>
      <c r="H286" s="115"/>
      <c r="I286" s="335"/>
      <c r="J286" s="115"/>
      <c r="K286" s="97"/>
      <c r="L286" s="115"/>
      <c r="M286" s="264"/>
      <c r="N286" s="170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spans="1:31" ht="15.75" customHeight="1">
      <c r="A287" s="515"/>
      <c r="B287" s="516" t="s">
        <v>50</v>
      </c>
      <c r="C287" s="516" t="s">
        <v>46</v>
      </c>
      <c r="D287" s="516" t="s">
        <v>46</v>
      </c>
      <c r="E287" s="517"/>
      <c r="F287" s="518" t="s">
        <v>24</v>
      </c>
      <c r="G287" s="519">
        <f>SUM(G288,G294,G308,G337)</f>
        <v>91524</v>
      </c>
      <c r="H287" s="282">
        <f>G287/$G$9</f>
        <v>9.0894103860248474E-2</v>
      </c>
      <c r="I287" s="519">
        <f>SUM(I288,I294,I308,I337)</f>
        <v>114087</v>
      </c>
      <c r="J287" s="520">
        <f>I287/$I$9</f>
        <v>7.4090527346156621E-2</v>
      </c>
      <c r="K287" s="519">
        <f>SUM(K288,K294,K308,K337)</f>
        <v>22563</v>
      </c>
      <c r="L287" s="282">
        <f t="shared" ref="L287:L290" si="133">G287/I287</f>
        <v>0.80222987719897976</v>
      </c>
      <c r="M287" s="521"/>
      <c r="N287" s="522"/>
      <c r="O287" s="523"/>
      <c r="P287" s="524"/>
      <c r="Q287" s="524"/>
      <c r="R287" s="524"/>
      <c r="S287" s="524"/>
      <c r="T287" s="524"/>
      <c r="U287" s="524"/>
      <c r="V287" s="524"/>
      <c r="W287" s="524"/>
      <c r="X287" s="524"/>
      <c r="Y287" s="524"/>
      <c r="Z287" s="524"/>
      <c r="AA287" s="524"/>
      <c r="AB287" s="524"/>
      <c r="AC287" s="524"/>
      <c r="AD287" s="524"/>
      <c r="AE287" s="524"/>
    </row>
    <row r="288" spans="1:31" ht="15.75" customHeight="1">
      <c r="A288" s="503"/>
      <c r="B288" s="352"/>
      <c r="C288" s="504" t="s">
        <v>46</v>
      </c>
      <c r="D288" s="353" t="s">
        <v>45</v>
      </c>
      <c r="E288" s="354"/>
      <c r="F288" s="505" t="s">
        <v>47</v>
      </c>
      <c r="G288" s="357">
        <f>SUM(G289:G292)</f>
        <v>36926</v>
      </c>
      <c r="H288" s="506">
        <f>G288/$G$287</f>
        <v>0.40345701673877887</v>
      </c>
      <c r="I288" s="357">
        <f>SUM(I289:I292)</f>
        <v>44750</v>
      </c>
      <c r="J288" s="293">
        <f>I288/$I$287</f>
        <v>0.39224451515071829</v>
      </c>
      <c r="K288" s="358">
        <f>SUM(K289:K292)</f>
        <v>7824</v>
      </c>
      <c r="L288" s="458">
        <f t="shared" si="133"/>
        <v>0.82516201117318433</v>
      </c>
      <c r="M288" s="511"/>
      <c r="N288" s="510"/>
      <c r="O288" s="511"/>
      <c r="P288" s="507"/>
      <c r="Q288" s="507"/>
      <c r="R288" s="507"/>
      <c r="S288" s="507"/>
      <c r="T288" s="507"/>
      <c r="U288" s="507"/>
      <c r="V288" s="507"/>
      <c r="W288" s="507"/>
      <c r="X288" s="507"/>
      <c r="Y288" s="507"/>
      <c r="Z288" s="507"/>
      <c r="AA288" s="507"/>
      <c r="AB288" s="507"/>
      <c r="AC288" s="507"/>
      <c r="AD288" s="507"/>
      <c r="AE288" s="508"/>
    </row>
    <row r="289" spans="1:31" ht="15.75" customHeight="1">
      <c r="A289" s="437"/>
      <c r="B289" s="297"/>
      <c r="C289" s="297"/>
      <c r="D289" s="297"/>
      <c r="E289" s="143" t="s">
        <v>128</v>
      </c>
      <c r="F289" s="264" t="s">
        <v>129</v>
      </c>
      <c r="G289" s="525">
        <v>32000</v>
      </c>
      <c r="H289" s="302">
        <f t="shared" ref="H289:H290" si="134">G289/$G$288</f>
        <v>0.86659806098683856</v>
      </c>
      <c r="I289" s="301">
        <v>32000</v>
      </c>
      <c r="J289" s="526">
        <f t="shared" ref="J289:J290" si="135">I289/$I$288</f>
        <v>0.71508379888268159</v>
      </c>
      <c r="K289" s="97">
        <f t="shared" ref="K289:K290" si="136">I289-G289</f>
        <v>0</v>
      </c>
      <c r="L289" s="115">
        <f t="shared" si="133"/>
        <v>1</v>
      </c>
      <c r="M289" s="439" t="s">
        <v>383</v>
      </c>
      <c r="N289" s="439"/>
      <c r="O289" s="527"/>
      <c r="P289" s="527"/>
      <c r="Q289" s="527"/>
      <c r="R289" s="527"/>
      <c r="S289" s="527"/>
      <c r="T289" s="527"/>
      <c r="U289" s="527"/>
      <c r="V289" s="527"/>
      <c r="W289" s="527"/>
      <c r="X289" s="527"/>
      <c r="Y289" s="527"/>
      <c r="Z289" s="527"/>
      <c r="AA289" s="527"/>
      <c r="AB289" s="527"/>
      <c r="AC289" s="527"/>
      <c r="AD289" s="527"/>
      <c r="AE289" s="527"/>
    </row>
    <row r="290" spans="1:31" ht="15.75" customHeight="1">
      <c r="A290" s="437"/>
      <c r="B290" s="297"/>
      <c r="C290" s="297"/>
      <c r="D290" s="297"/>
      <c r="E290" s="143" t="s">
        <v>134</v>
      </c>
      <c r="F290" s="264" t="s">
        <v>135</v>
      </c>
      <c r="G290" s="525">
        <v>2500</v>
      </c>
      <c r="H290" s="302">
        <f t="shared" si="134"/>
        <v>6.7702973514596768E-2</v>
      </c>
      <c r="I290" s="301">
        <v>9000</v>
      </c>
      <c r="J290" s="526">
        <f t="shared" si="135"/>
        <v>0.2011173184357542</v>
      </c>
      <c r="K290" s="97">
        <f t="shared" si="136"/>
        <v>6500</v>
      </c>
      <c r="L290" s="115">
        <f t="shared" si="133"/>
        <v>0.27777777777777779</v>
      </c>
      <c r="M290" s="439" t="s">
        <v>169</v>
      </c>
      <c r="N290" s="439"/>
      <c r="O290" s="527" t="s">
        <v>131</v>
      </c>
      <c r="P290" s="527"/>
      <c r="Q290" s="527"/>
      <c r="R290" s="527"/>
      <c r="S290" s="527"/>
      <c r="T290" s="527"/>
      <c r="U290" s="527"/>
      <c r="V290" s="527"/>
      <c r="W290" s="527"/>
      <c r="X290" s="527"/>
      <c r="Y290" s="527"/>
      <c r="Z290" s="527"/>
      <c r="AA290" s="527"/>
      <c r="AB290" s="527"/>
      <c r="AC290" s="527"/>
      <c r="AD290" s="527"/>
      <c r="AE290" s="527"/>
    </row>
    <row r="291" spans="1:31" ht="15.75" customHeight="1">
      <c r="A291" s="437"/>
      <c r="B291" s="297"/>
      <c r="C291" s="297"/>
      <c r="D291" s="297"/>
      <c r="E291" s="231"/>
      <c r="F291" s="349"/>
      <c r="G291" s="342"/>
      <c r="H291" s="302"/>
      <c r="I291" s="301"/>
      <c r="J291" s="526"/>
      <c r="K291" s="97"/>
      <c r="L291" s="115"/>
      <c r="M291" s="439" t="s">
        <v>384</v>
      </c>
      <c r="N291" s="439"/>
      <c r="O291" s="527"/>
      <c r="P291" s="527"/>
      <c r="Q291" s="527"/>
      <c r="R291" s="527"/>
      <c r="S291" s="527"/>
      <c r="T291" s="527"/>
      <c r="U291" s="527"/>
      <c r="V291" s="527"/>
      <c r="W291" s="527"/>
      <c r="X291" s="527"/>
      <c r="Y291" s="527"/>
      <c r="Z291" s="527"/>
      <c r="AA291" s="527"/>
      <c r="AB291" s="527"/>
      <c r="AC291" s="527"/>
      <c r="AD291" s="527"/>
      <c r="AE291" s="527"/>
    </row>
    <row r="292" spans="1:31" ht="15.75" customHeight="1">
      <c r="A292" s="437"/>
      <c r="B292" s="297"/>
      <c r="C292" s="297"/>
      <c r="D292" s="297"/>
      <c r="E292" s="143" t="s">
        <v>385</v>
      </c>
      <c r="F292" s="264" t="s">
        <v>386</v>
      </c>
      <c r="G292" s="525">
        <v>2426</v>
      </c>
      <c r="H292" s="302">
        <f>G292/$G$288</f>
        <v>6.5698965498564701E-2</v>
      </c>
      <c r="I292" s="301">
        <v>3750</v>
      </c>
      <c r="J292" s="526">
        <f>I292/$I$288</f>
        <v>8.3798882681564241E-2</v>
      </c>
      <c r="K292" s="97">
        <f>I292-G292</f>
        <v>1324</v>
      </c>
      <c r="L292" s="115">
        <f>G292/I292</f>
        <v>0.64693333333333336</v>
      </c>
      <c r="M292" s="439" t="s">
        <v>387</v>
      </c>
      <c r="N292" s="439"/>
      <c r="O292" s="527"/>
      <c r="P292" s="527"/>
      <c r="Q292" s="527"/>
      <c r="R292" s="527"/>
      <c r="S292" s="527"/>
      <c r="T292" s="527"/>
      <c r="U292" s="527"/>
      <c r="V292" s="527"/>
      <c r="W292" s="527"/>
      <c r="X292" s="527"/>
      <c r="Y292" s="527"/>
      <c r="Z292" s="527"/>
      <c r="AA292" s="527"/>
      <c r="AB292" s="527"/>
      <c r="AC292" s="527"/>
      <c r="AD292" s="527"/>
      <c r="AE292" s="527"/>
    </row>
    <row r="293" spans="1:31" ht="15.75" customHeight="1">
      <c r="A293" s="437"/>
      <c r="B293" s="528"/>
      <c r="C293" s="528"/>
      <c r="D293" s="528"/>
      <c r="E293" s="529"/>
      <c r="F293" s="342"/>
      <c r="G293" s="342"/>
      <c r="H293" s="302"/>
      <c r="I293" s="301"/>
      <c r="J293" s="526"/>
      <c r="K293" s="97"/>
      <c r="L293" s="115"/>
      <c r="M293" s="439"/>
      <c r="N293" s="439"/>
      <c r="O293" s="527"/>
      <c r="P293" s="527"/>
      <c r="Q293" s="527"/>
      <c r="R293" s="527"/>
      <c r="S293" s="527"/>
      <c r="T293" s="527"/>
      <c r="U293" s="527"/>
      <c r="V293" s="527"/>
      <c r="W293" s="527"/>
      <c r="X293" s="527"/>
      <c r="Y293" s="527"/>
      <c r="Z293" s="527"/>
      <c r="AA293" s="527"/>
      <c r="AB293" s="527"/>
      <c r="AC293" s="527"/>
      <c r="AD293" s="527"/>
      <c r="AE293" s="527"/>
    </row>
    <row r="294" spans="1:31" ht="15.75" customHeight="1">
      <c r="A294" s="530"/>
      <c r="B294" s="531"/>
      <c r="C294" s="531" t="s">
        <v>45</v>
      </c>
      <c r="D294" s="531" t="s">
        <v>46</v>
      </c>
      <c r="E294" s="532"/>
      <c r="F294" s="487" t="s">
        <v>84</v>
      </c>
      <c r="G294" s="386">
        <f>SUM(G295,G302)</f>
        <v>30778</v>
      </c>
      <c r="H294" s="506">
        <f>G294/$G$287</f>
        <v>0.33628337922293605</v>
      </c>
      <c r="I294" s="533">
        <f>SUM(I295,I302)</f>
        <v>35400</v>
      </c>
      <c r="J294" s="293">
        <f>I294/$I$287</f>
        <v>0.31028951589576376</v>
      </c>
      <c r="K294" s="534">
        <f>SUM(K295,K302)</f>
        <v>4622</v>
      </c>
      <c r="L294" s="458">
        <f t="shared" ref="L294:L310" si="137">G294/I294</f>
        <v>0.86943502824858754</v>
      </c>
      <c r="M294" s="487"/>
      <c r="N294" s="535"/>
      <c r="O294" s="536"/>
      <c r="P294" s="536"/>
      <c r="Q294" s="536"/>
      <c r="R294" s="536"/>
      <c r="S294" s="536"/>
      <c r="T294" s="536"/>
      <c r="U294" s="536"/>
      <c r="V294" s="536"/>
      <c r="W294" s="536"/>
      <c r="X294" s="536"/>
      <c r="Y294" s="536"/>
      <c r="Z294" s="536"/>
      <c r="AA294" s="536"/>
      <c r="AB294" s="536"/>
      <c r="AC294" s="536"/>
      <c r="AD294" s="536"/>
      <c r="AE294" s="536"/>
    </row>
    <row r="295" spans="1:31" ht="15.75" customHeight="1">
      <c r="A295" s="537"/>
      <c r="B295" s="405"/>
      <c r="C295" s="538"/>
      <c r="D295" s="395" t="s">
        <v>45</v>
      </c>
      <c r="E295" s="406"/>
      <c r="F295" s="539" t="s">
        <v>85</v>
      </c>
      <c r="G295" s="540">
        <f>SUM(G296:G301)</f>
        <v>24775</v>
      </c>
      <c r="H295" s="541">
        <f>G295/$G$294</f>
        <v>0.80495808694522064</v>
      </c>
      <c r="I295" s="540">
        <f>SUM(I296:I301)</f>
        <v>27700</v>
      </c>
      <c r="J295" s="542">
        <f>I295/$I$294</f>
        <v>0.78248587570621464</v>
      </c>
      <c r="K295" s="540">
        <f>SUM(K296:K301)</f>
        <v>2925</v>
      </c>
      <c r="L295" s="138">
        <f t="shared" si="137"/>
        <v>0.89440433212996395</v>
      </c>
      <c r="M295" s="543"/>
      <c r="N295" s="543"/>
      <c r="O295" s="544"/>
      <c r="P295" s="544"/>
      <c r="Q295" s="544"/>
      <c r="R295" s="544"/>
      <c r="S295" s="544"/>
      <c r="T295" s="544"/>
      <c r="U295" s="544"/>
      <c r="V295" s="544"/>
      <c r="W295" s="544"/>
      <c r="X295" s="544"/>
      <c r="Y295" s="544"/>
      <c r="Z295" s="544"/>
      <c r="AA295" s="544"/>
      <c r="AB295" s="544"/>
      <c r="AC295" s="544"/>
      <c r="AD295" s="544"/>
      <c r="AE295" s="544"/>
    </row>
    <row r="296" spans="1:31" ht="15.75" customHeight="1">
      <c r="A296" s="437"/>
      <c r="B296" s="410"/>
      <c r="C296" s="410"/>
      <c r="D296" s="410"/>
      <c r="E296" s="246" t="s">
        <v>224</v>
      </c>
      <c r="F296" s="471" t="s">
        <v>225</v>
      </c>
      <c r="G296" s="525">
        <v>9000</v>
      </c>
      <c r="H296" s="302">
        <f t="shared" ref="H296:H301" si="138">G296/$G$295</f>
        <v>0.36326942482341068</v>
      </c>
      <c r="I296" s="301">
        <v>9000</v>
      </c>
      <c r="J296" s="526">
        <f t="shared" ref="J296:J301" si="139">I296/$I$295</f>
        <v>0.32490974729241878</v>
      </c>
      <c r="K296" s="97">
        <f t="shared" ref="K296:K301" si="140">I296-G296</f>
        <v>0</v>
      </c>
      <c r="L296" s="115">
        <f t="shared" si="137"/>
        <v>1</v>
      </c>
      <c r="M296" s="439" t="s">
        <v>388</v>
      </c>
      <c r="N296" s="439"/>
      <c r="O296" s="527"/>
      <c r="P296" s="527"/>
      <c r="Q296" s="527"/>
      <c r="R296" s="527"/>
      <c r="S296" s="527"/>
      <c r="T296" s="527"/>
      <c r="U296" s="527"/>
      <c r="V296" s="527"/>
      <c r="W296" s="527"/>
      <c r="X296" s="527"/>
      <c r="Y296" s="527"/>
      <c r="Z296" s="527"/>
      <c r="AA296" s="527"/>
      <c r="AB296" s="527"/>
      <c r="AC296" s="527"/>
      <c r="AD296" s="527"/>
      <c r="AE296" s="527"/>
    </row>
    <row r="297" spans="1:31" ht="15.75" customHeight="1">
      <c r="A297" s="437"/>
      <c r="B297" s="410"/>
      <c r="C297" s="410"/>
      <c r="D297" s="410"/>
      <c r="E297" s="246" t="s">
        <v>138</v>
      </c>
      <c r="F297" s="471" t="s">
        <v>139</v>
      </c>
      <c r="G297" s="525">
        <v>8400</v>
      </c>
      <c r="H297" s="302">
        <f t="shared" si="138"/>
        <v>0.33905146316851664</v>
      </c>
      <c r="I297" s="301">
        <v>8400</v>
      </c>
      <c r="J297" s="526">
        <f t="shared" si="139"/>
        <v>0.30324909747292417</v>
      </c>
      <c r="K297" s="97">
        <f t="shared" si="140"/>
        <v>0</v>
      </c>
      <c r="L297" s="115">
        <f t="shared" si="137"/>
        <v>1</v>
      </c>
      <c r="M297" s="439" t="s">
        <v>389</v>
      </c>
      <c r="N297" s="439"/>
      <c r="O297" s="527"/>
      <c r="P297" s="527"/>
      <c r="Q297" s="527"/>
      <c r="R297" s="527"/>
      <c r="S297" s="527"/>
      <c r="T297" s="527"/>
      <c r="U297" s="527"/>
      <c r="V297" s="527"/>
      <c r="W297" s="527"/>
      <c r="X297" s="527"/>
      <c r="Y297" s="527"/>
      <c r="Z297" s="527"/>
      <c r="AA297" s="527"/>
      <c r="AB297" s="527"/>
      <c r="AC297" s="527"/>
      <c r="AD297" s="527"/>
      <c r="AE297" s="527"/>
    </row>
    <row r="298" spans="1:31" ht="15.75" customHeight="1">
      <c r="A298" s="437"/>
      <c r="B298" s="410"/>
      <c r="C298" s="410"/>
      <c r="D298" s="410"/>
      <c r="E298" s="246" t="s">
        <v>143</v>
      </c>
      <c r="F298" s="471" t="s">
        <v>144</v>
      </c>
      <c r="G298" s="525">
        <v>1165</v>
      </c>
      <c r="H298" s="302">
        <f t="shared" si="138"/>
        <v>4.7023208879919273E-2</v>
      </c>
      <c r="I298" s="301">
        <v>2500</v>
      </c>
      <c r="J298" s="526">
        <f t="shared" si="139"/>
        <v>9.0252707581227443E-2</v>
      </c>
      <c r="K298" s="97">
        <f t="shared" si="140"/>
        <v>1335</v>
      </c>
      <c r="L298" s="115">
        <f t="shared" si="137"/>
        <v>0.46600000000000003</v>
      </c>
      <c r="M298" s="439" t="s">
        <v>390</v>
      </c>
      <c r="N298" s="439"/>
      <c r="O298" s="527" t="s">
        <v>391</v>
      </c>
      <c r="P298" s="527"/>
      <c r="Q298" s="527"/>
      <c r="R298" s="527"/>
      <c r="S298" s="527"/>
      <c r="T298" s="527"/>
      <c r="U298" s="527"/>
      <c r="V298" s="527"/>
      <c r="W298" s="527"/>
      <c r="X298" s="527"/>
      <c r="Y298" s="527"/>
      <c r="Z298" s="527"/>
      <c r="AA298" s="527"/>
      <c r="AB298" s="527"/>
      <c r="AC298" s="527"/>
      <c r="AD298" s="527"/>
      <c r="AE298" s="527"/>
    </row>
    <row r="299" spans="1:31" ht="15.75" customHeight="1">
      <c r="A299" s="437"/>
      <c r="B299" s="410"/>
      <c r="C299" s="410"/>
      <c r="D299" s="410"/>
      <c r="E299" s="246" t="s">
        <v>174</v>
      </c>
      <c r="F299" s="471" t="s">
        <v>175</v>
      </c>
      <c r="G299" s="342">
        <v>0</v>
      </c>
      <c r="H299" s="302">
        <f t="shared" si="138"/>
        <v>0</v>
      </c>
      <c r="I299" s="301">
        <v>1500</v>
      </c>
      <c r="J299" s="526">
        <f t="shared" si="139"/>
        <v>5.4151624548736461E-2</v>
      </c>
      <c r="K299" s="97">
        <f t="shared" si="140"/>
        <v>1500</v>
      </c>
      <c r="L299" s="115">
        <f t="shared" si="137"/>
        <v>0</v>
      </c>
      <c r="M299" s="439" t="s">
        <v>392</v>
      </c>
      <c r="N299" s="170"/>
      <c r="O299" s="527" t="s">
        <v>393</v>
      </c>
      <c r="P299" s="527"/>
      <c r="Q299" s="527"/>
      <c r="R299" s="527"/>
      <c r="S299" s="527"/>
      <c r="T299" s="527"/>
      <c r="U299" s="527"/>
      <c r="V299" s="527"/>
      <c r="W299" s="527"/>
      <c r="X299" s="527"/>
      <c r="Y299" s="527"/>
      <c r="Z299" s="527"/>
      <c r="AA299" s="527"/>
      <c r="AB299" s="527"/>
      <c r="AC299" s="527"/>
      <c r="AD299" s="527"/>
      <c r="AE299" s="527"/>
    </row>
    <row r="300" spans="1:31" ht="15.75" customHeight="1">
      <c r="A300" s="437"/>
      <c r="B300" s="410"/>
      <c r="C300" s="410"/>
      <c r="D300" s="410"/>
      <c r="E300" s="246" t="s">
        <v>394</v>
      </c>
      <c r="F300" s="471" t="s">
        <v>395</v>
      </c>
      <c r="G300" s="525">
        <v>5800</v>
      </c>
      <c r="H300" s="302">
        <f t="shared" si="138"/>
        <v>0.23410696266397579</v>
      </c>
      <c r="I300" s="301">
        <v>5800</v>
      </c>
      <c r="J300" s="526">
        <f t="shared" si="139"/>
        <v>0.20938628158844766</v>
      </c>
      <c r="K300" s="97">
        <f t="shared" si="140"/>
        <v>0</v>
      </c>
      <c r="L300" s="115">
        <f t="shared" si="137"/>
        <v>1</v>
      </c>
      <c r="M300" s="439" t="s">
        <v>396</v>
      </c>
      <c r="N300" s="439"/>
      <c r="O300" s="527"/>
      <c r="P300" s="527"/>
      <c r="Q300" s="527"/>
      <c r="R300" s="527"/>
      <c r="S300" s="527"/>
      <c r="T300" s="527"/>
      <c r="U300" s="527"/>
      <c r="V300" s="527"/>
      <c r="W300" s="527"/>
      <c r="X300" s="527"/>
      <c r="Y300" s="527"/>
      <c r="Z300" s="527"/>
      <c r="AA300" s="527"/>
      <c r="AB300" s="527"/>
      <c r="AC300" s="527"/>
      <c r="AD300" s="527"/>
      <c r="AE300" s="527"/>
    </row>
    <row r="301" spans="1:31" ht="15.75" customHeight="1">
      <c r="A301" s="437"/>
      <c r="B301" s="410"/>
      <c r="C301" s="410"/>
      <c r="D301" s="410"/>
      <c r="E301" s="246" t="s">
        <v>149</v>
      </c>
      <c r="F301" s="471" t="s">
        <v>150</v>
      </c>
      <c r="G301" s="342">
        <v>410</v>
      </c>
      <c r="H301" s="302">
        <f t="shared" si="138"/>
        <v>1.6548940464177597E-2</v>
      </c>
      <c r="I301" s="301">
        <v>500</v>
      </c>
      <c r="J301" s="526">
        <f t="shared" si="139"/>
        <v>1.8050541516245487E-2</v>
      </c>
      <c r="K301" s="97">
        <f t="shared" si="140"/>
        <v>90</v>
      </c>
      <c r="L301" s="115">
        <f t="shared" si="137"/>
        <v>0.82</v>
      </c>
      <c r="M301" s="439" t="s">
        <v>151</v>
      </c>
      <c r="N301" s="439"/>
      <c r="O301" s="527"/>
      <c r="P301" s="527"/>
      <c r="Q301" s="527"/>
      <c r="R301" s="527"/>
      <c r="S301" s="527"/>
      <c r="T301" s="527"/>
      <c r="U301" s="527"/>
      <c r="V301" s="527"/>
      <c r="W301" s="527"/>
      <c r="X301" s="527"/>
      <c r="Y301" s="527"/>
      <c r="Z301" s="527"/>
      <c r="AA301" s="527"/>
      <c r="AB301" s="527"/>
      <c r="AC301" s="527"/>
      <c r="AD301" s="527"/>
      <c r="AE301" s="527"/>
    </row>
    <row r="302" spans="1:31" ht="15.75" customHeight="1">
      <c r="A302" s="537"/>
      <c r="B302" s="405"/>
      <c r="C302" s="538"/>
      <c r="D302" s="395" t="s">
        <v>48</v>
      </c>
      <c r="E302" s="406"/>
      <c r="F302" s="539" t="s">
        <v>86</v>
      </c>
      <c r="G302" s="540">
        <f>SUM(G303:G307)</f>
        <v>6003</v>
      </c>
      <c r="H302" s="541">
        <f>G302/$G$294</f>
        <v>0.19504191305477939</v>
      </c>
      <c r="I302" s="540">
        <f>SUM(I303:I307)</f>
        <v>7700</v>
      </c>
      <c r="J302" s="542">
        <f>I302/$I$294</f>
        <v>0.2175141242937853</v>
      </c>
      <c r="K302" s="540">
        <f>SUM(K303:K307)</f>
        <v>1697</v>
      </c>
      <c r="L302" s="138">
        <f t="shared" si="137"/>
        <v>0.77961038961038964</v>
      </c>
      <c r="M302" s="543"/>
      <c r="N302" s="543"/>
      <c r="O302" s="544"/>
      <c r="P302" s="544"/>
      <c r="Q302" s="544"/>
      <c r="R302" s="544"/>
      <c r="S302" s="544"/>
      <c r="T302" s="544"/>
      <c r="U302" s="544"/>
      <c r="V302" s="544"/>
      <c r="W302" s="544"/>
      <c r="X302" s="544"/>
      <c r="Y302" s="544"/>
      <c r="Z302" s="544"/>
      <c r="AA302" s="544"/>
      <c r="AB302" s="544"/>
      <c r="AC302" s="544"/>
      <c r="AD302" s="544"/>
      <c r="AE302" s="544"/>
    </row>
    <row r="303" spans="1:31" ht="15.75" customHeight="1">
      <c r="A303" s="437"/>
      <c r="B303" s="410"/>
      <c r="C303" s="410"/>
      <c r="D303" s="410"/>
      <c r="E303" s="246" t="s">
        <v>128</v>
      </c>
      <c r="F303" s="471" t="s">
        <v>129</v>
      </c>
      <c r="G303" s="525">
        <v>1200</v>
      </c>
      <c r="H303" s="302">
        <f t="shared" ref="H303:H307" si="141">G303/$G$302</f>
        <v>0.19990004997501248</v>
      </c>
      <c r="I303" s="377">
        <v>1200</v>
      </c>
      <c r="J303" s="526">
        <f t="shared" ref="J303:J307" si="142">I303/$I$302</f>
        <v>0.15584415584415584</v>
      </c>
      <c r="K303" s="97">
        <f t="shared" ref="K303:K307" si="143">I303-G303</f>
        <v>0</v>
      </c>
      <c r="L303" s="115">
        <f t="shared" si="137"/>
        <v>1</v>
      </c>
      <c r="M303" s="439" t="s">
        <v>397</v>
      </c>
      <c r="N303" s="439"/>
      <c r="O303" s="527"/>
      <c r="P303" s="527"/>
      <c r="Q303" s="527"/>
      <c r="R303" s="527"/>
      <c r="S303" s="527"/>
      <c r="T303" s="527"/>
      <c r="U303" s="527"/>
      <c r="V303" s="527"/>
      <c r="W303" s="527"/>
      <c r="X303" s="527"/>
      <c r="Y303" s="527"/>
      <c r="Z303" s="527"/>
      <c r="AA303" s="527"/>
      <c r="AB303" s="527"/>
      <c r="AC303" s="527"/>
      <c r="AD303" s="527"/>
      <c r="AE303" s="527"/>
    </row>
    <row r="304" spans="1:31" ht="15.75" customHeight="1">
      <c r="A304" s="530"/>
      <c r="B304" s="410"/>
      <c r="C304" s="410"/>
      <c r="D304" s="410"/>
      <c r="E304" s="246" t="s">
        <v>138</v>
      </c>
      <c r="F304" s="471" t="s">
        <v>139</v>
      </c>
      <c r="G304" s="525">
        <v>3560</v>
      </c>
      <c r="H304" s="302">
        <f t="shared" si="141"/>
        <v>0.59303681492587035</v>
      </c>
      <c r="I304" s="377">
        <v>3600</v>
      </c>
      <c r="J304" s="526">
        <f t="shared" si="142"/>
        <v>0.46753246753246752</v>
      </c>
      <c r="K304" s="97">
        <f t="shared" si="143"/>
        <v>40</v>
      </c>
      <c r="L304" s="115">
        <f t="shared" si="137"/>
        <v>0.98888888888888893</v>
      </c>
      <c r="M304" s="439" t="s">
        <v>398</v>
      </c>
      <c r="N304" s="439"/>
      <c r="O304" s="527"/>
      <c r="P304" s="544"/>
      <c r="Q304" s="544"/>
      <c r="R304" s="544"/>
      <c r="S304" s="544"/>
      <c r="T304" s="544"/>
      <c r="U304" s="544"/>
      <c r="V304" s="544"/>
      <c r="W304" s="544"/>
      <c r="X304" s="544"/>
      <c r="Y304" s="544"/>
      <c r="Z304" s="544"/>
      <c r="AA304" s="544"/>
      <c r="AB304" s="544"/>
      <c r="AC304" s="544"/>
      <c r="AD304" s="544"/>
      <c r="AE304" s="544"/>
    </row>
    <row r="305" spans="1:31" ht="15.75" customHeight="1">
      <c r="A305" s="545"/>
      <c r="B305" s="410"/>
      <c r="C305" s="410"/>
      <c r="D305" s="410"/>
      <c r="E305" s="246" t="s">
        <v>170</v>
      </c>
      <c r="F305" s="471" t="s">
        <v>171</v>
      </c>
      <c r="G305" s="342">
        <v>543</v>
      </c>
      <c r="H305" s="302">
        <f t="shared" si="141"/>
        <v>9.0454772613693155E-2</v>
      </c>
      <c r="I305" s="377">
        <v>600</v>
      </c>
      <c r="J305" s="526">
        <f t="shared" si="142"/>
        <v>7.792207792207792E-2</v>
      </c>
      <c r="K305" s="97">
        <f t="shared" si="143"/>
        <v>57</v>
      </c>
      <c r="L305" s="115">
        <f t="shared" si="137"/>
        <v>0.90500000000000003</v>
      </c>
      <c r="M305" s="439" t="s">
        <v>399</v>
      </c>
      <c r="N305" s="439"/>
      <c r="O305" s="527"/>
      <c r="P305" s="527"/>
      <c r="Q305" s="527"/>
      <c r="R305" s="527"/>
      <c r="S305" s="527"/>
      <c r="T305" s="527"/>
      <c r="U305" s="527"/>
      <c r="V305" s="527"/>
      <c r="W305" s="527"/>
      <c r="X305" s="527"/>
      <c r="Y305" s="527"/>
      <c r="Z305" s="527"/>
      <c r="AA305" s="527"/>
      <c r="AB305" s="527"/>
      <c r="AC305" s="527"/>
      <c r="AD305" s="527"/>
      <c r="AE305" s="527"/>
    </row>
    <row r="306" spans="1:31" ht="15.75" customHeight="1">
      <c r="A306" s="437"/>
      <c r="B306" s="410"/>
      <c r="C306" s="410"/>
      <c r="D306" s="410"/>
      <c r="E306" s="246" t="s">
        <v>174</v>
      </c>
      <c r="F306" s="471" t="s">
        <v>175</v>
      </c>
      <c r="G306" s="438">
        <v>700</v>
      </c>
      <c r="H306" s="302">
        <f t="shared" si="141"/>
        <v>0.11660836248542396</v>
      </c>
      <c r="I306" s="377">
        <v>1800</v>
      </c>
      <c r="J306" s="526">
        <f t="shared" si="142"/>
        <v>0.23376623376623376</v>
      </c>
      <c r="K306" s="97">
        <f t="shared" si="143"/>
        <v>1100</v>
      </c>
      <c r="L306" s="115">
        <f t="shared" si="137"/>
        <v>0.3888888888888889</v>
      </c>
      <c r="M306" s="439" t="s">
        <v>400</v>
      </c>
      <c r="N306" s="546"/>
      <c r="O306" s="527" t="s">
        <v>401</v>
      </c>
      <c r="P306" s="547"/>
      <c r="Q306" s="547"/>
      <c r="R306" s="547"/>
      <c r="S306" s="547"/>
      <c r="T306" s="547"/>
      <c r="U306" s="547"/>
      <c r="V306" s="547"/>
      <c r="W306" s="547"/>
      <c r="X306" s="547"/>
      <c r="Y306" s="547"/>
      <c r="Z306" s="547"/>
      <c r="AA306" s="547"/>
      <c r="AB306" s="547"/>
      <c r="AC306" s="547"/>
      <c r="AD306" s="547"/>
      <c r="AE306" s="547"/>
    </row>
    <row r="307" spans="1:31" ht="15.75" customHeight="1">
      <c r="A307" s="437"/>
      <c r="B307" s="410"/>
      <c r="C307" s="410"/>
      <c r="D307" s="410"/>
      <c r="E307" s="246" t="s">
        <v>149</v>
      </c>
      <c r="F307" s="471" t="s">
        <v>150</v>
      </c>
      <c r="G307" s="438">
        <v>0</v>
      </c>
      <c r="H307" s="302">
        <f t="shared" si="141"/>
        <v>0</v>
      </c>
      <c r="I307" s="377">
        <v>500</v>
      </c>
      <c r="J307" s="526">
        <f t="shared" si="142"/>
        <v>6.4935064935064929E-2</v>
      </c>
      <c r="K307" s="97">
        <f t="shared" si="143"/>
        <v>500</v>
      </c>
      <c r="L307" s="115">
        <f t="shared" si="137"/>
        <v>0</v>
      </c>
      <c r="M307" s="439" t="s">
        <v>402</v>
      </c>
      <c r="N307" s="439"/>
      <c r="O307" s="527"/>
      <c r="P307" s="527"/>
      <c r="Q307" s="527"/>
      <c r="R307" s="527"/>
      <c r="S307" s="527"/>
      <c r="T307" s="527"/>
      <c r="U307" s="527"/>
      <c r="V307" s="527"/>
      <c r="W307" s="527"/>
      <c r="X307" s="527"/>
      <c r="Y307" s="527"/>
      <c r="Z307" s="527"/>
      <c r="AA307" s="527"/>
      <c r="AB307" s="527"/>
      <c r="AC307" s="527"/>
      <c r="AD307" s="527"/>
      <c r="AE307" s="527"/>
    </row>
    <row r="308" spans="1:31" ht="15.75" customHeight="1">
      <c r="A308" s="530"/>
      <c r="B308" s="531"/>
      <c r="C308" s="531" t="s">
        <v>48</v>
      </c>
      <c r="D308" s="531" t="s">
        <v>46</v>
      </c>
      <c r="E308" s="532"/>
      <c r="F308" s="487" t="s">
        <v>87</v>
      </c>
      <c r="G308" s="386">
        <f>SUM(G309,G316,G324)</f>
        <v>22046</v>
      </c>
      <c r="H308" s="506">
        <f>G308/$G$287</f>
        <v>0.24087670993400639</v>
      </c>
      <c r="I308" s="533">
        <f>SUM(I309,I316,I324)</f>
        <v>28233</v>
      </c>
      <c r="J308" s="293">
        <f>I308/$I$287</f>
        <v>0.24746903678771465</v>
      </c>
      <c r="K308" s="534">
        <f>SUM(K309,K316,K324)</f>
        <v>6187</v>
      </c>
      <c r="L308" s="458">
        <f t="shared" si="137"/>
        <v>0.78085927814968303</v>
      </c>
      <c r="M308" s="487"/>
      <c r="N308" s="535"/>
      <c r="O308" s="536"/>
      <c r="P308" s="536"/>
      <c r="Q308" s="536"/>
      <c r="R308" s="536"/>
      <c r="S308" s="536"/>
      <c r="T308" s="536"/>
      <c r="U308" s="536"/>
      <c r="V308" s="536"/>
      <c r="W308" s="536"/>
      <c r="X308" s="536"/>
      <c r="Y308" s="536"/>
      <c r="Z308" s="536"/>
      <c r="AA308" s="536"/>
      <c r="AB308" s="536"/>
      <c r="AC308" s="536"/>
      <c r="AD308" s="536"/>
      <c r="AE308" s="536"/>
    </row>
    <row r="309" spans="1:31" ht="15.75" customHeight="1">
      <c r="A309" s="537"/>
      <c r="B309" s="405"/>
      <c r="C309" s="538"/>
      <c r="D309" s="395" t="s">
        <v>45</v>
      </c>
      <c r="E309" s="406"/>
      <c r="F309" s="539" t="s">
        <v>88</v>
      </c>
      <c r="G309" s="540">
        <f>SUM(G310:G315)</f>
        <v>6088</v>
      </c>
      <c r="H309" s="541">
        <f>G309/$G$308</f>
        <v>0.2761498684568629</v>
      </c>
      <c r="I309" s="540">
        <f>SUM(I310:I315)</f>
        <v>7300</v>
      </c>
      <c r="J309" s="542">
        <f>I309/$I$308</f>
        <v>0.25856267488400098</v>
      </c>
      <c r="K309" s="540">
        <f>SUM(K310:K315)</f>
        <v>1212</v>
      </c>
      <c r="L309" s="138">
        <f t="shared" si="137"/>
        <v>0.83397260273972607</v>
      </c>
      <c r="M309" s="543"/>
      <c r="N309" s="543"/>
      <c r="O309" s="544"/>
      <c r="P309" s="544"/>
      <c r="Q309" s="544"/>
      <c r="R309" s="544"/>
      <c r="S309" s="544"/>
      <c r="T309" s="544"/>
      <c r="U309" s="544"/>
      <c r="V309" s="544"/>
      <c r="W309" s="544"/>
      <c r="X309" s="544"/>
      <c r="Y309" s="544"/>
      <c r="Z309" s="544"/>
      <c r="AA309" s="544"/>
      <c r="AB309" s="544"/>
      <c r="AC309" s="544"/>
      <c r="AD309" s="544"/>
      <c r="AE309" s="544"/>
    </row>
    <row r="310" spans="1:31" ht="15.75" customHeight="1">
      <c r="A310" s="545"/>
      <c r="B310" s="410"/>
      <c r="C310" s="410"/>
      <c r="D310" s="410"/>
      <c r="E310" s="246" t="s">
        <v>208</v>
      </c>
      <c r="F310" s="471" t="s">
        <v>209</v>
      </c>
      <c r="G310" s="342">
        <v>600</v>
      </c>
      <c r="H310" s="302">
        <f>G310/$G$309</f>
        <v>9.8554533508541389E-2</v>
      </c>
      <c r="I310" s="301">
        <v>600</v>
      </c>
      <c r="J310" s="526">
        <f>I310/$I$309</f>
        <v>8.2191780821917804E-2</v>
      </c>
      <c r="K310" s="97">
        <f>I310-G310</f>
        <v>0</v>
      </c>
      <c r="L310" s="115">
        <f t="shared" si="137"/>
        <v>1</v>
      </c>
      <c r="M310" s="439" t="s">
        <v>403</v>
      </c>
      <c r="N310" s="439"/>
      <c r="O310" s="527"/>
      <c r="P310" s="527"/>
      <c r="Q310" s="527"/>
      <c r="R310" s="527"/>
      <c r="S310" s="527"/>
      <c r="T310" s="527"/>
      <c r="U310" s="527"/>
      <c r="V310" s="527"/>
      <c r="W310" s="527"/>
      <c r="X310" s="527"/>
      <c r="Y310" s="527"/>
      <c r="Z310" s="527"/>
      <c r="AA310" s="527"/>
      <c r="AB310" s="527"/>
      <c r="AC310" s="527"/>
      <c r="AD310" s="527"/>
      <c r="AE310" s="527"/>
    </row>
    <row r="311" spans="1:31" ht="15.75" customHeight="1">
      <c r="A311" s="545"/>
      <c r="B311" s="410"/>
      <c r="C311" s="410"/>
      <c r="D311" s="410"/>
      <c r="E311" s="410"/>
      <c r="F311" s="474"/>
      <c r="G311" s="342"/>
      <c r="H311" s="302"/>
      <c r="I311" s="301"/>
      <c r="J311" s="526"/>
      <c r="K311" s="97"/>
      <c r="L311" s="115"/>
      <c r="M311" s="439" t="s">
        <v>404</v>
      </c>
      <c r="N311" s="439"/>
      <c r="O311" s="527"/>
      <c r="P311" s="527"/>
      <c r="Q311" s="527"/>
      <c r="R311" s="527"/>
      <c r="S311" s="527"/>
      <c r="T311" s="527"/>
      <c r="U311" s="527"/>
      <c r="V311" s="527"/>
      <c r="W311" s="527"/>
      <c r="X311" s="527"/>
      <c r="Y311" s="527"/>
      <c r="Z311" s="527"/>
      <c r="AA311" s="527"/>
      <c r="AB311" s="527"/>
      <c r="AC311" s="527"/>
      <c r="AD311" s="527"/>
      <c r="AE311" s="527"/>
    </row>
    <row r="312" spans="1:31" ht="15.75" customHeight="1">
      <c r="A312" s="545"/>
      <c r="B312" s="410"/>
      <c r="C312" s="410"/>
      <c r="D312" s="410"/>
      <c r="E312" s="246" t="s">
        <v>138</v>
      </c>
      <c r="F312" s="471" t="s">
        <v>139</v>
      </c>
      <c r="G312" s="525">
        <v>4900</v>
      </c>
      <c r="H312" s="302">
        <f t="shared" ref="H312:H315" si="144">G312/$G$309</f>
        <v>0.80486202365308801</v>
      </c>
      <c r="I312" s="301">
        <v>5000</v>
      </c>
      <c r="J312" s="526">
        <f t="shared" ref="J312:J315" si="145">I312/$I$309</f>
        <v>0.68493150684931503</v>
      </c>
      <c r="K312" s="97">
        <f t="shared" ref="K312:K315" si="146">I312-G312</f>
        <v>100</v>
      </c>
      <c r="L312" s="115">
        <f t="shared" ref="L312:L317" si="147">G312/I312</f>
        <v>0.98</v>
      </c>
      <c r="M312" s="439" t="s">
        <v>405</v>
      </c>
      <c r="N312" s="439" t="s">
        <v>406</v>
      </c>
      <c r="O312" s="527" t="s">
        <v>407</v>
      </c>
      <c r="P312" s="527"/>
      <c r="Q312" s="527"/>
      <c r="R312" s="527"/>
      <c r="S312" s="527"/>
      <c r="T312" s="527"/>
      <c r="U312" s="527"/>
      <c r="V312" s="527"/>
      <c r="W312" s="527"/>
      <c r="X312" s="527"/>
      <c r="Y312" s="527"/>
      <c r="Z312" s="527"/>
      <c r="AA312" s="527"/>
      <c r="AB312" s="527"/>
      <c r="AC312" s="527"/>
      <c r="AD312" s="527"/>
      <c r="AE312" s="527"/>
    </row>
    <row r="313" spans="1:31" ht="15.75" customHeight="1">
      <c r="A313" s="545"/>
      <c r="B313" s="410"/>
      <c r="C313" s="410"/>
      <c r="D313" s="410"/>
      <c r="E313" s="246" t="s">
        <v>170</v>
      </c>
      <c r="F313" s="471" t="s">
        <v>171</v>
      </c>
      <c r="G313" s="342">
        <v>588</v>
      </c>
      <c r="H313" s="302">
        <f t="shared" si="144"/>
        <v>9.6583442838370559E-2</v>
      </c>
      <c r="I313" s="301">
        <v>1000</v>
      </c>
      <c r="J313" s="526">
        <f t="shared" si="145"/>
        <v>0.13698630136986301</v>
      </c>
      <c r="K313" s="97">
        <f t="shared" si="146"/>
        <v>412</v>
      </c>
      <c r="L313" s="115">
        <f t="shared" si="147"/>
        <v>0.58799999999999997</v>
      </c>
      <c r="M313" s="439" t="s">
        <v>408</v>
      </c>
      <c r="N313" s="439"/>
      <c r="O313" s="527"/>
      <c r="P313" s="527"/>
      <c r="Q313" s="527"/>
      <c r="R313" s="527"/>
      <c r="S313" s="527"/>
      <c r="T313" s="527"/>
      <c r="U313" s="527"/>
      <c r="V313" s="527"/>
      <c r="W313" s="527"/>
      <c r="X313" s="527"/>
      <c r="Y313" s="527"/>
      <c r="Z313" s="527"/>
      <c r="AA313" s="527"/>
      <c r="AB313" s="527"/>
      <c r="AC313" s="527"/>
      <c r="AD313" s="527"/>
      <c r="AE313" s="527"/>
    </row>
    <row r="314" spans="1:31" ht="15.75" customHeight="1">
      <c r="A314" s="545"/>
      <c r="B314" s="410"/>
      <c r="C314" s="410"/>
      <c r="D314" s="410"/>
      <c r="E314" s="246" t="s">
        <v>143</v>
      </c>
      <c r="F314" s="471" t="s">
        <v>144</v>
      </c>
      <c r="G314" s="342">
        <v>0</v>
      </c>
      <c r="H314" s="302">
        <f t="shared" si="144"/>
        <v>0</v>
      </c>
      <c r="I314" s="301">
        <v>200</v>
      </c>
      <c r="J314" s="526">
        <f t="shared" si="145"/>
        <v>2.7397260273972601E-2</v>
      </c>
      <c r="K314" s="97">
        <f t="shared" si="146"/>
        <v>200</v>
      </c>
      <c r="L314" s="115">
        <f t="shared" si="147"/>
        <v>0</v>
      </c>
      <c r="M314" s="439" t="s">
        <v>409</v>
      </c>
      <c r="N314" s="439"/>
      <c r="O314" s="527" t="s">
        <v>410</v>
      </c>
      <c r="P314" s="527"/>
      <c r="Q314" s="527"/>
      <c r="R314" s="527"/>
      <c r="S314" s="527"/>
      <c r="T314" s="527"/>
      <c r="U314" s="527"/>
      <c r="V314" s="527"/>
      <c r="W314" s="527"/>
      <c r="X314" s="527"/>
      <c r="Y314" s="527"/>
      <c r="Z314" s="527"/>
      <c r="AA314" s="527"/>
      <c r="AB314" s="527"/>
      <c r="AC314" s="527"/>
      <c r="AD314" s="527"/>
      <c r="AE314" s="527"/>
    </row>
    <row r="315" spans="1:31" ht="15.75" customHeight="1">
      <c r="A315" s="545"/>
      <c r="B315" s="410"/>
      <c r="C315" s="410"/>
      <c r="D315" s="410"/>
      <c r="E315" s="246" t="s">
        <v>149</v>
      </c>
      <c r="F315" s="471" t="s">
        <v>150</v>
      </c>
      <c r="G315" s="342">
        <v>0</v>
      </c>
      <c r="H315" s="302">
        <f t="shared" si="144"/>
        <v>0</v>
      </c>
      <c r="I315" s="301">
        <v>500</v>
      </c>
      <c r="J315" s="526">
        <f t="shared" si="145"/>
        <v>6.8493150684931503E-2</v>
      </c>
      <c r="K315" s="97">
        <f t="shared" si="146"/>
        <v>500</v>
      </c>
      <c r="L315" s="115">
        <f t="shared" si="147"/>
        <v>0</v>
      </c>
      <c r="M315" s="439" t="s">
        <v>151</v>
      </c>
      <c r="N315" s="439"/>
      <c r="O315" s="527"/>
      <c r="P315" s="527"/>
      <c r="Q315" s="527"/>
      <c r="R315" s="527"/>
      <c r="S315" s="527"/>
      <c r="T315" s="527"/>
      <c r="U315" s="527"/>
      <c r="V315" s="527"/>
      <c r="W315" s="527"/>
      <c r="X315" s="527"/>
      <c r="Y315" s="527"/>
      <c r="Z315" s="527"/>
      <c r="AA315" s="527"/>
      <c r="AB315" s="527"/>
      <c r="AC315" s="527"/>
      <c r="AD315" s="527"/>
      <c r="AE315" s="527"/>
    </row>
    <row r="316" spans="1:31" ht="15.75" customHeight="1">
      <c r="A316" s="537"/>
      <c r="B316" s="405"/>
      <c r="C316" s="538"/>
      <c r="D316" s="395" t="s">
        <v>48</v>
      </c>
      <c r="E316" s="406"/>
      <c r="F316" s="539" t="s">
        <v>89</v>
      </c>
      <c r="G316" s="540">
        <f>SUM(G317:G323)</f>
        <v>6480</v>
      </c>
      <c r="H316" s="541">
        <f>G316/$G$308</f>
        <v>0.29393087181348088</v>
      </c>
      <c r="I316" s="540">
        <f>SUM(I317:I323)</f>
        <v>8800</v>
      </c>
      <c r="J316" s="542">
        <f>I316/$I$308</f>
        <v>0.31169199164098749</v>
      </c>
      <c r="K316" s="540">
        <f>SUM(K317:K323)</f>
        <v>2320</v>
      </c>
      <c r="L316" s="138">
        <f t="shared" si="147"/>
        <v>0.73636363636363633</v>
      </c>
      <c r="M316" s="543"/>
      <c r="N316" s="543"/>
      <c r="O316" s="544"/>
      <c r="P316" s="544"/>
      <c r="Q316" s="544"/>
      <c r="R316" s="544"/>
      <c r="S316" s="544"/>
      <c r="T316" s="544"/>
      <c r="U316" s="544"/>
      <c r="V316" s="544"/>
      <c r="W316" s="544"/>
      <c r="X316" s="544"/>
      <c r="Y316" s="544"/>
      <c r="Z316" s="544"/>
      <c r="AA316" s="544"/>
      <c r="AB316" s="544"/>
      <c r="AC316" s="544"/>
      <c r="AD316" s="544"/>
      <c r="AE316" s="544"/>
    </row>
    <row r="317" spans="1:31" ht="15.75" customHeight="1">
      <c r="A317" s="545"/>
      <c r="B317" s="410"/>
      <c r="C317" s="410"/>
      <c r="D317" s="410"/>
      <c r="E317" s="246" t="s">
        <v>208</v>
      </c>
      <c r="F317" s="471" t="s">
        <v>209</v>
      </c>
      <c r="G317" s="342">
        <v>600</v>
      </c>
      <c r="H317" s="302">
        <f>G317/$G$316</f>
        <v>9.2592592592592587E-2</v>
      </c>
      <c r="I317" s="301">
        <v>600</v>
      </c>
      <c r="J317" s="526">
        <f>I317/$I$316</f>
        <v>6.8181818181818177E-2</v>
      </c>
      <c r="K317" s="97">
        <f>I317-G317</f>
        <v>0</v>
      </c>
      <c r="L317" s="115">
        <f t="shared" si="147"/>
        <v>1</v>
      </c>
      <c r="M317" s="439" t="s">
        <v>403</v>
      </c>
      <c r="N317" s="439"/>
      <c r="O317" s="527"/>
      <c r="P317" s="527"/>
      <c r="Q317" s="527"/>
      <c r="R317" s="527"/>
      <c r="S317" s="527"/>
      <c r="T317" s="527"/>
      <c r="U317" s="527"/>
      <c r="V317" s="527"/>
      <c r="W317" s="527"/>
      <c r="X317" s="527"/>
      <c r="Y317" s="527"/>
      <c r="Z317" s="527"/>
      <c r="AA317" s="527"/>
      <c r="AB317" s="527"/>
      <c r="AC317" s="527"/>
      <c r="AD317" s="527"/>
      <c r="AE317" s="527"/>
    </row>
    <row r="318" spans="1:31" ht="15.75" customHeight="1">
      <c r="A318" s="545"/>
      <c r="B318" s="410"/>
      <c r="C318" s="410"/>
      <c r="D318" s="410"/>
      <c r="E318" s="410"/>
      <c r="F318" s="474"/>
      <c r="G318" s="342"/>
      <c r="H318" s="302"/>
      <c r="I318" s="301"/>
      <c r="J318" s="526"/>
      <c r="K318" s="97"/>
      <c r="L318" s="115"/>
      <c r="M318" s="439" t="s">
        <v>404</v>
      </c>
      <c r="N318" s="439"/>
      <c r="O318" s="527"/>
      <c r="P318" s="527"/>
      <c r="Q318" s="527"/>
      <c r="R318" s="527"/>
      <c r="S318" s="527"/>
      <c r="T318" s="527"/>
      <c r="U318" s="527"/>
      <c r="V318" s="527"/>
      <c r="W318" s="527"/>
      <c r="X318" s="527"/>
      <c r="Y318" s="527"/>
      <c r="Z318" s="527"/>
      <c r="AA318" s="527"/>
      <c r="AB318" s="527"/>
      <c r="AC318" s="527"/>
      <c r="AD318" s="527"/>
      <c r="AE318" s="527"/>
    </row>
    <row r="319" spans="1:31" ht="15.75" customHeight="1">
      <c r="A319" s="545"/>
      <c r="B319" s="410"/>
      <c r="C319" s="410"/>
      <c r="D319" s="410"/>
      <c r="E319" s="246" t="s">
        <v>138</v>
      </c>
      <c r="F319" s="471" t="s">
        <v>139</v>
      </c>
      <c r="G319" s="525">
        <v>5880</v>
      </c>
      <c r="H319" s="302">
        <f t="shared" ref="H319:H323" si="148">G319/$G$316</f>
        <v>0.90740740740740744</v>
      </c>
      <c r="I319" s="301">
        <v>6000</v>
      </c>
      <c r="J319" s="526">
        <f t="shared" ref="J319:J323" si="149">I319/$I$316</f>
        <v>0.68181818181818177</v>
      </c>
      <c r="K319" s="97">
        <f t="shared" ref="K319:K323" si="150">I319-G319</f>
        <v>120</v>
      </c>
      <c r="L319" s="115">
        <f t="shared" ref="L319:L325" si="151">G319/I319</f>
        <v>0.98</v>
      </c>
      <c r="M319" s="439" t="s">
        <v>411</v>
      </c>
      <c r="N319" s="439"/>
      <c r="O319" s="527"/>
      <c r="P319" s="527"/>
      <c r="Q319" s="527"/>
      <c r="R319" s="527"/>
      <c r="S319" s="527"/>
      <c r="T319" s="527"/>
      <c r="U319" s="527"/>
      <c r="V319" s="527"/>
      <c r="W319" s="527"/>
      <c r="X319" s="527"/>
      <c r="Y319" s="527"/>
      <c r="Z319" s="527"/>
      <c r="AA319" s="527"/>
      <c r="AB319" s="527"/>
      <c r="AC319" s="527"/>
      <c r="AD319" s="527"/>
      <c r="AE319" s="527"/>
    </row>
    <row r="320" spans="1:31" ht="15.75" customHeight="1">
      <c r="A320" s="545"/>
      <c r="B320" s="410"/>
      <c r="C320" s="410"/>
      <c r="D320" s="410"/>
      <c r="E320" s="246" t="s">
        <v>170</v>
      </c>
      <c r="F320" s="471" t="s">
        <v>171</v>
      </c>
      <c r="G320" s="342">
        <v>0</v>
      </c>
      <c r="H320" s="302">
        <f t="shared" si="148"/>
        <v>0</v>
      </c>
      <c r="I320" s="301">
        <v>500</v>
      </c>
      <c r="J320" s="526">
        <f t="shared" si="149"/>
        <v>5.6818181818181816E-2</v>
      </c>
      <c r="K320" s="97">
        <f t="shared" si="150"/>
        <v>500</v>
      </c>
      <c r="L320" s="115">
        <f t="shared" si="151"/>
        <v>0</v>
      </c>
      <c r="M320" s="439" t="s">
        <v>412</v>
      </c>
      <c r="N320" s="439"/>
      <c r="O320" s="527" t="s">
        <v>413</v>
      </c>
      <c r="P320" s="527"/>
      <c r="Q320" s="527"/>
      <c r="R320" s="527"/>
      <c r="S320" s="527"/>
      <c r="T320" s="527"/>
      <c r="U320" s="527"/>
      <c r="V320" s="527"/>
      <c r="W320" s="527"/>
      <c r="X320" s="527"/>
      <c r="Y320" s="527"/>
      <c r="Z320" s="527"/>
      <c r="AA320" s="527"/>
      <c r="AB320" s="527"/>
      <c r="AC320" s="527"/>
      <c r="AD320" s="527"/>
      <c r="AE320" s="527"/>
    </row>
    <row r="321" spans="1:31" ht="15.75" customHeight="1">
      <c r="A321" s="545"/>
      <c r="B321" s="410"/>
      <c r="C321" s="410"/>
      <c r="D321" s="410"/>
      <c r="E321" s="246" t="s">
        <v>143</v>
      </c>
      <c r="F321" s="471" t="s">
        <v>144</v>
      </c>
      <c r="G321" s="342">
        <v>0</v>
      </c>
      <c r="H321" s="302">
        <f t="shared" si="148"/>
        <v>0</v>
      </c>
      <c r="I321" s="301">
        <v>500</v>
      </c>
      <c r="J321" s="526">
        <f t="shared" si="149"/>
        <v>5.6818181818181816E-2</v>
      </c>
      <c r="K321" s="97">
        <f t="shared" si="150"/>
        <v>500</v>
      </c>
      <c r="L321" s="115">
        <f t="shared" si="151"/>
        <v>0</v>
      </c>
      <c r="M321" s="439" t="s">
        <v>414</v>
      </c>
      <c r="N321" s="439"/>
      <c r="O321" s="527" t="s">
        <v>413</v>
      </c>
      <c r="P321" s="527"/>
      <c r="Q321" s="527"/>
      <c r="R321" s="527"/>
      <c r="S321" s="527"/>
      <c r="T321" s="527"/>
      <c r="U321" s="527"/>
      <c r="V321" s="527"/>
      <c r="W321" s="527"/>
      <c r="X321" s="527"/>
      <c r="Y321" s="527"/>
      <c r="Z321" s="527"/>
      <c r="AA321" s="527"/>
      <c r="AB321" s="527"/>
      <c r="AC321" s="527"/>
      <c r="AD321" s="527"/>
      <c r="AE321" s="527"/>
    </row>
    <row r="322" spans="1:31" ht="15.75" customHeight="1">
      <c r="A322" s="545"/>
      <c r="B322" s="410"/>
      <c r="C322" s="410"/>
      <c r="D322" s="410"/>
      <c r="E322" s="246" t="s">
        <v>174</v>
      </c>
      <c r="F322" s="471" t="s">
        <v>175</v>
      </c>
      <c r="G322" s="342">
        <v>0</v>
      </c>
      <c r="H322" s="302">
        <f t="shared" si="148"/>
        <v>0</v>
      </c>
      <c r="I322" s="301">
        <v>700</v>
      </c>
      <c r="J322" s="526">
        <f t="shared" si="149"/>
        <v>7.9545454545454544E-2</v>
      </c>
      <c r="K322" s="97">
        <f t="shared" si="150"/>
        <v>700</v>
      </c>
      <c r="L322" s="115">
        <f t="shared" si="151"/>
        <v>0</v>
      </c>
      <c r="M322" s="439" t="s">
        <v>415</v>
      </c>
      <c r="N322" s="439"/>
      <c r="O322" s="527" t="s">
        <v>416</v>
      </c>
      <c r="P322" s="527"/>
      <c r="Q322" s="527"/>
      <c r="R322" s="527"/>
      <c r="S322" s="527"/>
      <c r="T322" s="527"/>
      <c r="U322" s="527"/>
      <c r="V322" s="527"/>
      <c r="W322" s="527"/>
      <c r="X322" s="527"/>
      <c r="Y322" s="527"/>
      <c r="Z322" s="527"/>
      <c r="AA322" s="527"/>
      <c r="AB322" s="527"/>
      <c r="AC322" s="527"/>
      <c r="AD322" s="527"/>
      <c r="AE322" s="527"/>
    </row>
    <row r="323" spans="1:31" ht="15.75" customHeight="1">
      <c r="A323" s="545"/>
      <c r="B323" s="410"/>
      <c r="C323" s="410"/>
      <c r="D323" s="410"/>
      <c r="E323" s="246" t="s">
        <v>149</v>
      </c>
      <c r="F323" s="471" t="s">
        <v>150</v>
      </c>
      <c r="G323" s="342">
        <v>0</v>
      </c>
      <c r="H323" s="302">
        <f t="shared" si="148"/>
        <v>0</v>
      </c>
      <c r="I323" s="301">
        <v>500</v>
      </c>
      <c r="J323" s="526">
        <f t="shared" si="149"/>
        <v>5.6818181818181816E-2</v>
      </c>
      <c r="K323" s="97">
        <f t="shared" si="150"/>
        <v>500</v>
      </c>
      <c r="L323" s="115">
        <f t="shared" si="151"/>
        <v>0</v>
      </c>
      <c r="M323" s="439" t="s">
        <v>151</v>
      </c>
      <c r="N323" s="439"/>
      <c r="O323" s="527"/>
      <c r="P323" s="527"/>
      <c r="Q323" s="527"/>
      <c r="R323" s="527"/>
      <c r="S323" s="527"/>
      <c r="T323" s="527"/>
      <c r="U323" s="527"/>
      <c r="V323" s="527"/>
      <c r="W323" s="527"/>
      <c r="X323" s="527"/>
      <c r="Y323" s="527"/>
      <c r="Z323" s="527"/>
      <c r="AA323" s="527"/>
      <c r="AB323" s="527"/>
      <c r="AC323" s="527"/>
      <c r="AD323" s="527"/>
      <c r="AE323" s="527"/>
    </row>
    <row r="324" spans="1:31" ht="15.75" customHeight="1">
      <c r="A324" s="537"/>
      <c r="B324" s="405"/>
      <c r="C324" s="538"/>
      <c r="D324" s="395" t="s">
        <v>52</v>
      </c>
      <c r="E324" s="406"/>
      <c r="F324" s="539" t="s">
        <v>90</v>
      </c>
      <c r="G324" s="540">
        <f>SUM(G325:G336)</f>
        <v>9478</v>
      </c>
      <c r="H324" s="541">
        <f>G324/$G$308</f>
        <v>0.42991925972965617</v>
      </c>
      <c r="I324" s="540">
        <f>SUM(I325:I336)</f>
        <v>12133</v>
      </c>
      <c r="J324" s="542">
        <f>I324/$I$308</f>
        <v>0.42974533347501154</v>
      </c>
      <c r="K324" s="540">
        <f>SUM(K325:K336)</f>
        <v>2655</v>
      </c>
      <c r="L324" s="138">
        <f t="shared" si="151"/>
        <v>0.7811753070139289</v>
      </c>
      <c r="M324" s="543"/>
      <c r="N324" s="543"/>
      <c r="O324" s="544"/>
      <c r="P324" s="544"/>
      <c r="Q324" s="544"/>
      <c r="R324" s="544"/>
      <c r="S324" s="544"/>
      <c r="T324" s="544"/>
      <c r="U324" s="544"/>
      <c r="V324" s="544"/>
      <c r="W324" s="544"/>
      <c r="X324" s="544"/>
      <c r="Y324" s="544"/>
      <c r="Z324" s="544"/>
      <c r="AA324" s="544"/>
      <c r="AB324" s="544"/>
      <c r="AC324" s="544"/>
      <c r="AD324" s="544"/>
      <c r="AE324" s="544"/>
    </row>
    <row r="325" spans="1:31" ht="15.75" customHeight="1">
      <c r="A325" s="545"/>
      <c r="B325" s="410"/>
      <c r="C325" s="410"/>
      <c r="D325" s="410"/>
      <c r="E325" s="246" t="s">
        <v>348</v>
      </c>
      <c r="F325" s="471" t="s">
        <v>349</v>
      </c>
      <c r="G325" s="525">
        <v>2000</v>
      </c>
      <c r="H325" s="302">
        <f>G325/$G$324</f>
        <v>0.21101498206372651</v>
      </c>
      <c r="I325" s="377">
        <v>2000</v>
      </c>
      <c r="J325" s="526">
        <f>I325/$I$324</f>
        <v>0.16483969339817028</v>
      </c>
      <c r="K325" s="97">
        <f>I325-G325</f>
        <v>0</v>
      </c>
      <c r="L325" s="115">
        <f t="shared" si="151"/>
        <v>1</v>
      </c>
      <c r="M325" s="453" t="s">
        <v>417</v>
      </c>
      <c r="N325" s="439"/>
      <c r="O325" s="527"/>
      <c r="P325" s="527"/>
      <c r="Q325" s="527"/>
      <c r="R325" s="527"/>
      <c r="S325" s="527"/>
      <c r="T325" s="527"/>
      <c r="U325" s="527"/>
      <c r="V325" s="527"/>
      <c r="W325" s="527"/>
      <c r="X325" s="527"/>
      <c r="Y325" s="527"/>
      <c r="Z325" s="527"/>
      <c r="AA325" s="527"/>
      <c r="AB325" s="527"/>
      <c r="AC325" s="527"/>
      <c r="AD325" s="527"/>
      <c r="AE325" s="527"/>
    </row>
    <row r="326" spans="1:31" ht="15.75" customHeight="1">
      <c r="A326" s="545"/>
      <c r="B326" s="410"/>
      <c r="C326" s="410"/>
      <c r="D326" s="410"/>
      <c r="E326" s="410"/>
      <c r="F326" s="474"/>
      <c r="G326" s="342"/>
      <c r="H326" s="302"/>
      <c r="I326" s="470"/>
      <c r="J326" s="526"/>
      <c r="K326" s="97"/>
      <c r="L326" s="115"/>
      <c r="M326" s="453" t="s">
        <v>418</v>
      </c>
      <c r="N326" s="439"/>
      <c r="O326" s="527"/>
      <c r="P326" s="527"/>
      <c r="Q326" s="527"/>
      <c r="R326" s="527"/>
      <c r="S326" s="527"/>
      <c r="T326" s="527"/>
      <c r="U326" s="527"/>
      <c r="V326" s="527"/>
      <c r="W326" s="527"/>
      <c r="X326" s="527"/>
      <c r="Y326" s="527"/>
      <c r="Z326" s="527"/>
      <c r="AA326" s="527"/>
      <c r="AB326" s="527"/>
      <c r="AC326" s="527"/>
      <c r="AD326" s="527"/>
      <c r="AE326" s="527"/>
    </row>
    <row r="327" spans="1:31" ht="15.75" customHeight="1">
      <c r="A327" s="545"/>
      <c r="B327" s="410"/>
      <c r="C327" s="410"/>
      <c r="D327" s="410"/>
      <c r="E327" s="246" t="s">
        <v>208</v>
      </c>
      <c r="F327" s="471" t="s">
        <v>209</v>
      </c>
      <c r="G327" s="342">
        <v>300</v>
      </c>
      <c r="H327" s="302">
        <f t="shared" ref="H327:H328" si="152">G327/$G$324</f>
        <v>3.1652247309558977E-2</v>
      </c>
      <c r="I327" s="377">
        <v>300</v>
      </c>
      <c r="J327" s="526">
        <f t="shared" ref="J327:J328" si="153">I327/$I$324</f>
        <v>2.4725954009725541E-2</v>
      </c>
      <c r="K327" s="97">
        <f t="shared" ref="K327:K328" si="154">I327-G327</f>
        <v>0</v>
      </c>
      <c r="L327" s="115">
        <f t="shared" ref="L327:L328" si="155">G327/I327</f>
        <v>1</v>
      </c>
      <c r="M327" s="453" t="s">
        <v>419</v>
      </c>
      <c r="N327" s="439"/>
      <c r="O327" s="527"/>
      <c r="P327" s="527"/>
      <c r="Q327" s="527"/>
      <c r="R327" s="527"/>
      <c r="S327" s="527"/>
      <c r="T327" s="527"/>
      <c r="U327" s="527"/>
      <c r="V327" s="527"/>
      <c r="W327" s="527"/>
      <c r="X327" s="527"/>
      <c r="Y327" s="527"/>
      <c r="Z327" s="527"/>
      <c r="AA327" s="527"/>
      <c r="AB327" s="527"/>
      <c r="AC327" s="527"/>
      <c r="AD327" s="527"/>
      <c r="AE327" s="527"/>
    </row>
    <row r="328" spans="1:31" ht="15.75" customHeight="1">
      <c r="A328" s="545"/>
      <c r="B328" s="410"/>
      <c r="C328" s="410"/>
      <c r="D328" s="410"/>
      <c r="E328" s="246" t="s">
        <v>224</v>
      </c>
      <c r="F328" s="471" t="s">
        <v>225</v>
      </c>
      <c r="G328" s="342">
        <v>0</v>
      </c>
      <c r="H328" s="302">
        <f t="shared" si="152"/>
        <v>0</v>
      </c>
      <c r="I328" s="377">
        <v>1800</v>
      </c>
      <c r="J328" s="526">
        <f t="shared" si="153"/>
        <v>0.14835572405835326</v>
      </c>
      <c r="K328" s="97">
        <f t="shared" si="154"/>
        <v>1800</v>
      </c>
      <c r="L328" s="115">
        <f t="shared" si="155"/>
        <v>0</v>
      </c>
      <c r="M328" s="453" t="s">
        <v>420</v>
      </c>
      <c r="N328" s="439"/>
      <c r="O328" s="527" t="s">
        <v>421</v>
      </c>
      <c r="P328" s="527"/>
      <c r="Q328" s="527"/>
      <c r="R328" s="527"/>
      <c r="S328" s="527"/>
      <c r="T328" s="527"/>
      <c r="U328" s="527"/>
      <c r="V328" s="527"/>
      <c r="W328" s="527"/>
      <c r="X328" s="527"/>
      <c r="Y328" s="527"/>
      <c r="Z328" s="527"/>
      <c r="AA328" s="527"/>
      <c r="AB328" s="527"/>
      <c r="AC328" s="527"/>
      <c r="AD328" s="527"/>
      <c r="AE328" s="527"/>
    </row>
    <row r="329" spans="1:31" ht="15.75" customHeight="1">
      <c r="A329" s="545"/>
      <c r="B329" s="410"/>
      <c r="C329" s="410"/>
      <c r="D329" s="410"/>
      <c r="E329" s="410"/>
      <c r="F329" s="474"/>
      <c r="G329" s="342"/>
      <c r="H329" s="302"/>
      <c r="I329" s="470"/>
      <c r="J329" s="526"/>
      <c r="K329" s="97"/>
      <c r="L329" s="115"/>
      <c r="M329" s="453" t="s">
        <v>422</v>
      </c>
      <c r="N329" s="439"/>
      <c r="O329" s="527"/>
      <c r="P329" s="527"/>
      <c r="Q329" s="527"/>
      <c r="R329" s="527"/>
      <c r="S329" s="527"/>
      <c r="T329" s="527"/>
      <c r="U329" s="527"/>
      <c r="V329" s="527"/>
      <c r="W329" s="527"/>
      <c r="X329" s="527"/>
      <c r="Y329" s="527"/>
      <c r="Z329" s="527"/>
      <c r="AA329" s="527"/>
      <c r="AB329" s="527"/>
      <c r="AC329" s="527"/>
      <c r="AD329" s="527"/>
      <c r="AE329" s="527"/>
    </row>
    <row r="330" spans="1:31" ht="15.75" customHeight="1">
      <c r="A330" s="545"/>
      <c r="B330" s="410"/>
      <c r="C330" s="410"/>
      <c r="D330" s="410"/>
      <c r="E330" s="246" t="s">
        <v>138</v>
      </c>
      <c r="F330" s="471" t="s">
        <v>139</v>
      </c>
      <c r="G330" s="525">
        <v>3100</v>
      </c>
      <c r="H330" s="302">
        <f>G330/$G$324</f>
        <v>0.3270732221987761</v>
      </c>
      <c r="I330" s="377">
        <v>3500</v>
      </c>
      <c r="J330" s="526">
        <f>I330/$I$324</f>
        <v>0.28846946344679797</v>
      </c>
      <c r="K330" s="97">
        <f>I330-G330</f>
        <v>400</v>
      </c>
      <c r="L330" s="115">
        <f>G330/I330</f>
        <v>0.88571428571428568</v>
      </c>
      <c r="M330" s="453" t="s">
        <v>423</v>
      </c>
      <c r="N330" s="439" t="s">
        <v>424</v>
      </c>
      <c r="O330" s="527" t="s">
        <v>407</v>
      </c>
      <c r="P330" s="527"/>
      <c r="Q330" s="527"/>
      <c r="R330" s="527"/>
      <c r="S330" s="527"/>
      <c r="T330" s="527"/>
      <c r="U330" s="527"/>
      <c r="V330" s="527"/>
      <c r="W330" s="527"/>
      <c r="X330" s="527"/>
      <c r="Y330" s="527"/>
      <c r="Z330" s="527"/>
      <c r="AA330" s="527"/>
      <c r="AB330" s="527"/>
      <c r="AC330" s="527"/>
      <c r="AD330" s="527"/>
      <c r="AE330" s="527"/>
    </row>
    <row r="331" spans="1:31" ht="15.75" customHeight="1">
      <c r="A331" s="545"/>
      <c r="B331" s="410"/>
      <c r="C331" s="410"/>
      <c r="D331" s="410"/>
      <c r="E331" s="410"/>
      <c r="F331" s="474"/>
      <c r="G331" s="342"/>
      <c r="H331" s="302"/>
      <c r="I331" s="470"/>
      <c r="J331" s="526"/>
      <c r="K331" s="97"/>
      <c r="L331" s="115"/>
      <c r="M331" s="453" t="s">
        <v>425</v>
      </c>
      <c r="N331" s="439"/>
      <c r="O331" s="527"/>
      <c r="P331" s="527"/>
      <c r="Q331" s="527"/>
      <c r="R331" s="527"/>
      <c r="S331" s="527"/>
      <c r="T331" s="527"/>
      <c r="U331" s="527"/>
      <c r="V331" s="527"/>
      <c r="W331" s="527"/>
      <c r="X331" s="527"/>
      <c r="Y331" s="527"/>
      <c r="Z331" s="527"/>
      <c r="AA331" s="527"/>
      <c r="AB331" s="527"/>
      <c r="AC331" s="527"/>
      <c r="AD331" s="527"/>
      <c r="AE331" s="527"/>
    </row>
    <row r="332" spans="1:31" ht="15.75" customHeight="1">
      <c r="A332" s="545"/>
      <c r="B332" s="410"/>
      <c r="C332" s="410"/>
      <c r="D332" s="410"/>
      <c r="E332" s="246" t="s">
        <v>170</v>
      </c>
      <c r="F332" s="471" t="s">
        <v>171</v>
      </c>
      <c r="G332" s="525">
        <v>3133</v>
      </c>
      <c r="H332" s="302">
        <f>G332/$G$324</f>
        <v>0.33055496940282758</v>
      </c>
      <c r="I332" s="377">
        <v>3133</v>
      </c>
      <c r="J332" s="526">
        <f>I332/$I$324</f>
        <v>0.25822137970823372</v>
      </c>
      <c r="K332" s="97">
        <f>I332-G332</f>
        <v>0</v>
      </c>
      <c r="L332" s="115">
        <f>G332/I332</f>
        <v>1</v>
      </c>
      <c r="M332" s="453" t="s">
        <v>426</v>
      </c>
      <c r="N332" s="439" t="s">
        <v>427</v>
      </c>
      <c r="O332" s="527"/>
      <c r="P332" s="527"/>
      <c r="Q332" s="527"/>
      <c r="R332" s="527"/>
      <c r="S332" s="527"/>
      <c r="T332" s="527"/>
      <c r="U332" s="527"/>
      <c r="V332" s="527"/>
      <c r="W332" s="527"/>
      <c r="X332" s="527"/>
      <c r="Y332" s="527"/>
      <c r="Z332" s="527"/>
      <c r="AA332" s="527"/>
      <c r="AB332" s="527"/>
      <c r="AC332" s="527"/>
      <c r="AD332" s="527"/>
      <c r="AE332" s="527"/>
    </row>
    <row r="333" spans="1:31" ht="15.75" customHeight="1">
      <c r="A333" s="545"/>
      <c r="B333" s="410"/>
      <c r="C333" s="410"/>
      <c r="D333" s="410"/>
      <c r="E333" s="410"/>
      <c r="F333" s="474"/>
      <c r="G333" s="342"/>
      <c r="H333" s="302"/>
      <c r="I333" s="470"/>
      <c r="J333" s="526"/>
      <c r="K333" s="97"/>
      <c r="L333" s="115"/>
      <c r="M333" s="453" t="s">
        <v>428</v>
      </c>
      <c r="N333" s="439"/>
      <c r="O333" s="527"/>
      <c r="P333" s="527"/>
      <c r="Q333" s="527"/>
      <c r="R333" s="527"/>
      <c r="S333" s="527"/>
      <c r="T333" s="527"/>
      <c r="U333" s="527"/>
      <c r="V333" s="527"/>
      <c r="W333" s="527"/>
      <c r="X333" s="527"/>
      <c r="Y333" s="527"/>
      <c r="Z333" s="527"/>
      <c r="AA333" s="527"/>
      <c r="AB333" s="527"/>
      <c r="AC333" s="527"/>
      <c r="AD333" s="527"/>
      <c r="AE333" s="527"/>
    </row>
    <row r="334" spans="1:31" ht="15.75" customHeight="1">
      <c r="A334" s="545"/>
      <c r="B334" s="410"/>
      <c r="C334" s="410"/>
      <c r="D334" s="410"/>
      <c r="E334" s="246" t="s">
        <v>143</v>
      </c>
      <c r="F334" s="471" t="s">
        <v>144</v>
      </c>
      <c r="G334" s="342">
        <v>0</v>
      </c>
      <c r="H334" s="302">
        <f t="shared" ref="H334:H336" si="156">G334/$G$324</f>
        <v>0</v>
      </c>
      <c r="I334" s="377">
        <v>200</v>
      </c>
      <c r="J334" s="526">
        <f t="shared" ref="J334:J336" si="157">I334/$I$324</f>
        <v>1.6483969339817026E-2</v>
      </c>
      <c r="K334" s="97">
        <f t="shared" ref="K334:K337" si="158">I334-G334</f>
        <v>200</v>
      </c>
      <c r="L334" s="115">
        <f t="shared" ref="L334:L337" si="159">G334/I334</f>
        <v>0</v>
      </c>
      <c r="M334" s="453" t="s">
        <v>429</v>
      </c>
      <c r="N334" s="439"/>
      <c r="O334" s="527" t="s">
        <v>430</v>
      </c>
      <c r="P334" s="527"/>
      <c r="Q334" s="527"/>
      <c r="R334" s="527"/>
      <c r="S334" s="527"/>
      <c r="T334" s="527"/>
      <c r="U334" s="527"/>
      <c r="V334" s="527"/>
      <c r="W334" s="527"/>
      <c r="X334" s="527"/>
      <c r="Y334" s="527"/>
      <c r="Z334" s="527"/>
      <c r="AA334" s="527"/>
      <c r="AB334" s="527"/>
      <c r="AC334" s="527"/>
      <c r="AD334" s="527"/>
      <c r="AE334" s="527"/>
    </row>
    <row r="335" spans="1:31" ht="15.75" customHeight="1">
      <c r="A335" s="545"/>
      <c r="B335" s="410"/>
      <c r="C335" s="410"/>
      <c r="D335" s="410"/>
      <c r="E335" s="246" t="s">
        <v>174</v>
      </c>
      <c r="F335" s="471" t="s">
        <v>175</v>
      </c>
      <c r="G335" s="342">
        <v>700</v>
      </c>
      <c r="H335" s="302">
        <f t="shared" si="156"/>
        <v>7.3855243722304287E-2</v>
      </c>
      <c r="I335" s="377">
        <v>700</v>
      </c>
      <c r="J335" s="526">
        <f t="shared" si="157"/>
        <v>5.7693892689359601E-2</v>
      </c>
      <c r="K335" s="97">
        <f t="shared" si="158"/>
        <v>0</v>
      </c>
      <c r="L335" s="115">
        <f t="shared" si="159"/>
        <v>1</v>
      </c>
      <c r="M335" s="453" t="s">
        <v>415</v>
      </c>
      <c r="N335" s="439"/>
      <c r="O335" s="527"/>
      <c r="P335" s="527"/>
      <c r="Q335" s="527"/>
      <c r="R335" s="527"/>
      <c r="S335" s="527"/>
      <c r="T335" s="527"/>
      <c r="U335" s="527"/>
      <c r="V335" s="527"/>
      <c r="W335" s="527"/>
      <c r="X335" s="527"/>
      <c r="Y335" s="527"/>
      <c r="Z335" s="527"/>
      <c r="AA335" s="527"/>
      <c r="AB335" s="527"/>
      <c r="AC335" s="527"/>
      <c r="AD335" s="527"/>
      <c r="AE335" s="527"/>
    </row>
    <row r="336" spans="1:31" ht="15.75" customHeight="1">
      <c r="A336" s="545"/>
      <c r="B336" s="410"/>
      <c r="C336" s="410"/>
      <c r="D336" s="410"/>
      <c r="E336" s="246" t="s">
        <v>149</v>
      </c>
      <c r="F336" s="471" t="s">
        <v>150</v>
      </c>
      <c r="G336" s="342">
        <v>245</v>
      </c>
      <c r="H336" s="302">
        <f t="shared" si="156"/>
        <v>2.58493353028065E-2</v>
      </c>
      <c r="I336" s="377">
        <v>500</v>
      </c>
      <c r="J336" s="526">
        <f t="shared" si="157"/>
        <v>4.1209923349542571E-2</v>
      </c>
      <c r="K336" s="97">
        <f t="shared" si="158"/>
        <v>255</v>
      </c>
      <c r="L336" s="115">
        <f t="shared" si="159"/>
        <v>0.49</v>
      </c>
      <c r="M336" s="453" t="s">
        <v>151</v>
      </c>
      <c r="N336" s="439"/>
      <c r="O336" s="527"/>
      <c r="P336" s="527"/>
      <c r="Q336" s="527"/>
      <c r="R336" s="527"/>
      <c r="S336" s="527"/>
      <c r="T336" s="527"/>
      <c r="U336" s="527"/>
      <c r="V336" s="527"/>
      <c r="W336" s="527"/>
      <c r="X336" s="527"/>
      <c r="Y336" s="527"/>
      <c r="Z336" s="527"/>
      <c r="AA336" s="527"/>
      <c r="AB336" s="527"/>
      <c r="AC336" s="527"/>
      <c r="AD336" s="527"/>
      <c r="AE336" s="527"/>
    </row>
    <row r="337" spans="1:31" ht="15.75" customHeight="1">
      <c r="A337" s="548"/>
      <c r="B337" s="315"/>
      <c r="C337" s="316" t="s">
        <v>50</v>
      </c>
      <c r="D337" s="316" t="s">
        <v>50</v>
      </c>
      <c r="E337" s="317"/>
      <c r="F337" s="549" t="s">
        <v>51</v>
      </c>
      <c r="G337" s="550">
        <v>1774</v>
      </c>
      <c r="H337" s="506">
        <f>G337/$G$287</f>
        <v>1.938289410427866E-2</v>
      </c>
      <c r="I337" s="551">
        <v>5704</v>
      </c>
      <c r="J337" s="293">
        <f>I337/$I$287</f>
        <v>4.9996932165803289E-2</v>
      </c>
      <c r="K337" s="318">
        <f t="shared" si="158"/>
        <v>3930</v>
      </c>
      <c r="L337" s="458">
        <f t="shared" si="159"/>
        <v>0.31100981767180924</v>
      </c>
      <c r="M337" s="511" t="s">
        <v>164</v>
      </c>
      <c r="N337" s="552"/>
      <c r="O337" s="536"/>
      <c r="P337" s="536"/>
      <c r="Q337" s="536"/>
      <c r="R337" s="536"/>
      <c r="S337" s="536"/>
      <c r="T337" s="536"/>
      <c r="U337" s="536"/>
      <c r="V337" s="536"/>
      <c r="W337" s="536"/>
      <c r="X337" s="536"/>
      <c r="Y337" s="536"/>
      <c r="Z337" s="536"/>
      <c r="AA337" s="536"/>
      <c r="AB337" s="536"/>
      <c r="AC337" s="536"/>
      <c r="AD337" s="536"/>
      <c r="AE337" s="536"/>
    </row>
    <row r="338" spans="1:31" ht="15.75" customHeight="1">
      <c r="A338" s="545"/>
      <c r="B338" s="410"/>
      <c r="C338" s="410"/>
      <c r="D338" s="410"/>
      <c r="E338" s="246"/>
      <c r="F338" s="471"/>
      <c r="G338" s="342"/>
      <c r="H338" s="302"/>
      <c r="I338" s="301"/>
      <c r="J338" s="526"/>
      <c r="K338" s="97"/>
      <c r="L338" s="115"/>
      <c r="M338" s="439"/>
      <c r="N338" s="439"/>
      <c r="O338" s="527"/>
      <c r="P338" s="527"/>
      <c r="Q338" s="527"/>
      <c r="R338" s="527"/>
      <c r="S338" s="527"/>
      <c r="T338" s="527"/>
      <c r="U338" s="527"/>
      <c r="V338" s="527"/>
      <c r="W338" s="527"/>
      <c r="X338" s="527"/>
      <c r="Y338" s="527"/>
      <c r="Z338" s="527"/>
      <c r="AA338" s="527"/>
      <c r="AB338" s="527"/>
      <c r="AC338" s="527"/>
      <c r="AD338" s="527"/>
      <c r="AE338" s="527"/>
    </row>
    <row r="339" spans="1:31" ht="15.75" customHeight="1">
      <c r="A339" s="545"/>
      <c r="B339" s="410"/>
      <c r="C339" s="410"/>
      <c r="D339" s="410"/>
      <c r="E339" s="246"/>
      <c r="F339" s="471"/>
      <c r="G339" s="342"/>
      <c r="H339" s="302"/>
      <c r="I339" s="301"/>
      <c r="J339" s="526"/>
      <c r="K339" s="97"/>
      <c r="L339" s="115"/>
      <c r="M339" s="439"/>
      <c r="N339" s="439"/>
      <c r="O339" s="527"/>
      <c r="P339" s="527"/>
      <c r="Q339" s="527"/>
      <c r="R339" s="527"/>
      <c r="S339" s="527"/>
      <c r="T339" s="527"/>
      <c r="U339" s="527"/>
      <c r="V339" s="527"/>
      <c r="W339" s="527"/>
      <c r="X339" s="527"/>
      <c r="Y339" s="527"/>
      <c r="Z339" s="527"/>
      <c r="AA339" s="527"/>
      <c r="AB339" s="527"/>
      <c r="AC339" s="527"/>
      <c r="AD339" s="527"/>
      <c r="AE339" s="527"/>
    </row>
    <row r="340" spans="1:31" ht="15.75" customHeight="1">
      <c r="A340" s="545"/>
      <c r="B340" s="410"/>
      <c r="C340" s="410"/>
      <c r="D340" s="410"/>
      <c r="E340" s="246"/>
      <c r="F340" s="471"/>
      <c r="G340" s="342"/>
      <c r="H340" s="302"/>
      <c r="I340" s="301"/>
      <c r="J340" s="526"/>
      <c r="K340" s="97"/>
      <c r="L340" s="115"/>
      <c r="M340" s="439"/>
      <c r="N340" s="439"/>
      <c r="O340" s="527"/>
      <c r="P340" s="527"/>
      <c r="Q340" s="527"/>
      <c r="R340" s="527"/>
      <c r="S340" s="527"/>
      <c r="T340" s="527"/>
      <c r="U340" s="527"/>
      <c r="V340" s="527"/>
      <c r="W340" s="527"/>
      <c r="X340" s="527"/>
      <c r="Y340" s="527"/>
      <c r="Z340" s="527"/>
      <c r="AA340" s="527"/>
      <c r="AB340" s="527"/>
      <c r="AC340" s="527"/>
      <c r="AD340" s="527"/>
      <c r="AE340" s="527"/>
    </row>
    <row r="341" spans="1:31" ht="15.75" customHeight="1">
      <c r="A341" s="277"/>
      <c r="B341" s="278" t="s">
        <v>25</v>
      </c>
      <c r="C341" s="278" t="s">
        <v>46</v>
      </c>
      <c r="D341" s="278" t="s">
        <v>46</v>
      </c>
      <c r="E341" s="279"/>
      <c r="F341" s="280" t="s">
        <v>26</v>
      </c>
      <c r="G341" s="281">
        <f>SUM(G342,G344,G348,G352,G356)</f>
        <v>58690</v>
      </c>
      <c r="H341" s="282">
        <f>G341/$G$9</f>
        <v>5.8286077483042514E-2</v>
      </c>
      <c r="I341" s="330">
        <f>SUM(I342,I344,I348,I352,I356,I361)</f>
        <v>88337</v>
      </c>
      <c r="J341" s="282">
        <f>I341/$I$9</f>
        <v>5.7367928985576251E-2</v>
      </c>
      <c r="K341" s="331">
        <f>K342+K361</f>
        <v>27127</v>
      </c>
      <c r="L341" s="282">
        <f>G341/I341</f>
        <v>0.66438751598990231</v>
      </c>
      <c r="M341" s="280"/>
      <c r="N341" s="284"/>
      <c r="O341" s="285"/>
      <c r="P341" s="285"/>
      <c r="Q341" s="285"/>
      <c r="R341" s="285"/>
      <c r="S341" s="285"/>
      <c r="T341" s="285"/>
      <c r="U341" s="285"/>
      <c r="V341" s="285"/>
      <c r="W341" s="285"/>
      <c r="X341" s="285"/>
      <c r="Y341" s="285"/>
      <c r="Z341" s="285"/>
      <c r="AA341" s="285"/>
      <c r="AB341" s="285"/>
      <c r="AC341" s="285"/>
      <c r="AD341" s="285"/>
      <c r="AE341" s="285"/>
    </row>
    <row r="342" spans="1:31" ht="15.75" customHeight="1">
      <c r="A342" s="147"/>
      <c r="B342" s="316"/>
      <c r="C342" s="316" t="s">
        <v>46</v>
      </c>
      <c r="D342" s="316" t="s">
        <v>45</v>
      </c>
      <c r="E342" s="385"/>
      <c r="F342" s="294" t="s">
        <v>47</v>
      </c>
      <c r="G342" s="332">
        <f>G343</f>
        <v>29490</v>
      </c>
      <c r="H342" s="489">
        <f>G342/$G$341</f>
        <v>0.50247060828079737</v>
      </c>
      <c r="I342" s="332">
        <f>I343</f>
        <v>52200</v>
      </c>
      <c r="J342" s="293">
        <f>I342/$I$341</f>
        <v>0.59091886751870681</v>
      </c>
      <c r="K342" s="333">
        <f>K343</f>
        <v>22710</v>
      </c>
      <c r="L342" s="293">
        <v>0</v>
      </c>
      <c r="M342" s="294"/>
      <c r="N342" s="321"/>
      <c r="O342" s="322"/>
      <c r="P342" s="322"/>
      <c r="Q342" s="322"/>
      <c r="R342" s="322"/>
      <c r="S342" s="322"/>
      <c r="T342" s="322"/>
      <c r="U342" s="322"/>
      <c r="V342" s="322"/>
      <c r="W342" s="322"/>
      <c r="X342" s="322"/>
      <c r="Y342" s="322"/>
      <c r="Z342" s="322"/>
      <c r="AA342" s="322"/>
      <c r="AB342" s="322"/>
      <c r="AC342" s="322"/>
      <c r="AD342" s="322"/>
      <c r="AE342" s="322"/>
    </row>
    <row r="343" spans="1:31" ht="15.75" customHeight="1">
      <c r="A343" s="147"/>
      <c r="B343" s="146"/>
      <c r="C343" s="146"/>
      <c r="D343" s="146"/>
      <c r="E343" s="143" t="s">
        <v>160</v>
      </c>
      <c r="F343" s="264" t="s">
        <v>161</v>
      </c>
      <c r="G343" s="110">
        <v>29490</v>
      </c>
      <c r="H343" s="115">
        <f>G343/$G$342</f>
        <v>1</v>
      </c>
      <c r="I343" s="110">
        <v>52200</v>
      </c>
      <c r="J343" s="115">
        <f>I343/I342</f>
        <v>1</v>
      </c>
      <c r="K343" s="97">
        <f>I343-G343</f>
        <v>22710</v>
      </c>
      <c r="L343" s="115">
        <f t="shared" ref="L343:L345" si="160">G343/I343</f>
        <v>0.56494252873563222</v>
      </c>
      <c r="M343" s="264" t="s">
        <v>431</v>
      </c>
      <c r="N343" s="170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 spans="1:31" ht="15.75" customHeight="1">
      <c r="A344" s="147"/>
      <c r="B344" s="316"/>
      <c r="C344" s="316" t="s">
        <v>46</v>
      </c>
      <c r="D344" s="316" t="s">
        <v>48</v>
      </c>
      <c r="E344" s="385"/>
      <c r="F344" s="465" t="s">
        <v>124</v>
      </c>
      <c r="G344" s="332">
        <f>G345</f>
        <v>5200</v>
      </c>
      <c r="H344" s="489">
        <f>G344/$G$341</f>
        <v>8.8601124552734709E-2</v>
      </c>
      <c r="I344" s="332">
        <f>I345</f>
        <v>5200</v>
      </c>
      <c r="J344" s="293">
        <f>I344/$I$341</f>
        <v>5.8865481055503356E-2</v>
      </c>
      <c r="K344" s="333">
        <f>K345</f>
        <v>0</v>
      </c>
      <c r="L344" s="293">
        <f t="shared" si="160"/>
        <v>1</v>
      </c>
      <c r="M344" s="294"/>
      <c r="N344" s="321"/>
      <c r="O344" s="322"/>
      <c r="P344" s="322"/>
      <c r="Q344" s="322"/>
      <c r="R344" s="322"/>
      <c r="S344" s="322"/>
      <c r="T344" s="322"/>
      <c r="U344" s="322"/>
      <c r="V344" s="322"/>
      <c r="W344" s="322"/>
      <c r="X344" s="322"/>
      <c r="Y344" s="322"/>
      <c r="Z344" s="322"/>
      <c r="AA344" s="322"/>
      <c r="AB344" s="322"/>
      <c r="AC344" s="322"/>
      <c r="AD344" s="322"/>
      <c r="AE344" s="322"/>
    </row>
    <row r="345" spans="1:31" ht="15.75" customHeight="1">
      <c r="A345" s="147"/>
      <c r="B345" s="146"/>
      <c r="C345" s="146"/>
      <c r="D345" s="146"/>
      <c r="E345" s="143" t="s">
        <v>128</v>
      </c>
      <c r="F345" s="264" t="s">
        <v>129</v>
      </c>
      <c r="G345" s="110">
        <v>5200</v>
      </c>
      <c r="H345" s="115">
        <f>G345/$G$344</f>
        <v>1</v>
      </c>
      <c r="I345" s="553">
        <v>5200</v>
      </c>
      <c r="J345" s="115">
        <f>I345/$I$344</f>
        <v>1</v>
      </c>
      <c r="K345" s="97">
        <f>I345-G345</f>
        <v>0</v>
      </c>
      <c r="L345" s="115">
        <f t="shared" si="160"/>
        <v>1</v>
      </c>
      <c r="M345" s="264" t="s">
        <v>432</v>
      </c>
      <c r="N345" s="170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 spans="1:31" ht="15.75" customHeight="1">
      <c r="A346" s="147"/>
      <c r="B346" s="146"/>
      <c r="C346" s="146"/>
      <c r="D346" s="146"/>
      <c r="E346" s="143"/>
      <c r="F346" s="264"/>
      <c r="G346" s="264"/>
      <c r="H346" s="115"/>
      <c r="I346" s="335"/>
      <c r="J346" s="115"/>
      <c r="K346" s="97"/>
      <c r="L346" s="115"/>
      <c r="M346" s="264" t="s">
        <v>433</v>
      </c>
      <c r="N346" s="170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 spans="1:31" ht="15.75" customHeight="1">
      <c r="A347" s="147"/>
      <c r="B347" s="146"/>
      <c r="C347" s="146"/>
      <c r="D347" s="146"/>
      <c r="E347" s="143"/>
      <c r="F347" s="264"/>
      <c r="G347" s="264"/>
      <c r="H347" s="115"/>
      <c r="I347" s="335"/>
      <c r="J347" s="115"/>
      <c r="K347" s="97"/>
      <c r="L347" s="115"/>
      <c r="M347" s="264" t="s">
        <v>434</v>
      </c>
      <c r="N347" s="170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 spans="1:31" ht="15.75" customHeight="1">
      <c r="A348" s="147"/>
      <c r="B348" s="316"/>
      <c r="C348" s="316" t="s">
        <v>46</v>
      </c>
      <c r="D348" s="316" t="s">
        <v>52</v>
      </c>
      <c r="E348" s="385"/>
      <c r="F348" s="465" t="s">
        <v>92</v>
      </c>
      <c r="G348" s="332">
        <f>SUM(G349)</f>
        <v>4800</v>
      </c>
      <c r="H348" s="489">
        <f>G348/$G$341</f>
        <v>8.1785653433293581E-2</v>
      </c>
      <c r="I348" s="332">
        <f>SUM(I349)</f>
        <v>4800</v>
      </c>
      <c r="J348" s="293">
        <f>I348/$I$341</f>
        <v>5.4337367128156948E-2</v>
      </c>
      <c r="K348" s="333">
        <f>K349</f>
        <v>0</v>
      </c>
      <c r="L348" s="293">
        <f t="shared" ref="L348:L349" si="161">G348/I348</f>
        <v>1</v>
      </c>
      <c r="M348" s="294"/>
      <c r="N348" s="321"/>
      <c r="O348" s="322"/>
      <c r="P348" s="322"/>
      <c r="Q348" s="322"/>
      <c r="R348" s="322"/>
      <c r="S348" s="322"/>
      <c r="T348" s="322"/>
      <c r="U348" s="322"/>
      <c r="V348" s="322"/>
      <c r="W348" s="322"/>
      <c r="X348" s="322"/>
      <c r="Y348" s="322"/>
      <c r="Z348" s="322"/>
      <c r="AA348" s="322"/>
      <c r="AB348" s="322"/>
      <c r="AC348" s="322"/>
      <c r="AD348" s="322"/>
      <c r="AE348" s="322"/>
    </row>
    <row r="349" spans="1:31" ht="15.75" customHeight="1">
      <c r="A349" s="147"/>
      <c r="B349" s="146"/>
      <c r="C349" s="146"/>
      <c r="D349" s="146"/>
      <c r="E349" s="143" t="s">
        <v>128</v>
      </c>
      <c r="F349" s="264" t="s">
        <v>129</v>
      </c>
      <c r="G349" s="110">
        <v>4800</v>
      </c>
      <c r="H349" s="115">
        <f>G349/$G$348</f>
        <v>1</v>
      </c>
      <c r="I349" s="335">
        <v>4800</v>
      </c>
      <c r="J349" s="369">
        <f>I349/I348</f>
        <v>1</v>
      </c>
      <c r="K349" s="97">
        <f>I349-G349</f>
        <v>0</v>
      </c>
      <c r="L349" s="115">
        <f t="shared" si="161"/>
        <v>1</v>
      </c>
      <c r="M349" s="264" t="s">
        <v>435</v>
      </c>
      <c r="N349" s="170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 spans="1:31" ht="15.75" customHeight="1">
      <c r="A350" s="147"/>
      <c r="B350" s="146"/>
      <c r="C350" s="146"/>
      <c r="D350" s="146"/>
      <c r="E350" s="143"/>
      <c r="F350" s="264"/>
      <c r="G350" s="264"/>
      <c r="H350" s="115"/>
      <c r="I350" s="335"/>
      <c r="J350" s="369"/>
      <c r="K350" s="377"/>
      <c r="L350" s="369"/>
      <c r="M350" s="264" t="s">
        <v>436</v>
      </c>
      <c r="N350" s="170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 spans="1:31" ht="15.75" customHeight="1">
      <c r="A351" s="147"/>
      <c r="B351" s="146"/>
      <c r="C351" s="146"/>
      <c r="D351" s="146"/>
      <c r="E351" s="143"/>
      <c r="F351" s="264"/>
      <c r="G351" s="264"/>
      <c r="H351" s="115"/>
      <c r="I351" s="335"/>
      <c r="J351" s="369"/>
      <c r="K351" s="377"/>
      <c r="L351" s="369"/>
      <c r="M351" s="264" t="s">
        <v>437</v>
      </c>
      <c r="N351" s="170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 spans="1:31" ht="15.75" customHeight="1">
      <c r="A352" s="147"/>
      <c r="B352" s="316"/>
      <c r="C352" s="316" t="s">
        <v>46</v>
      </c>
      <c r="D352" s="316" t="s">
        <v>53</v>
      </c>
      <c r="E352" s="385"/>
      <c r="F352" s="465" t="s">
        <v>93</v>
      </c>
      <c r="G352" s="332">
        <f>SUM(G353)</f>
        <v>6400</v>
      </c>
      <c r="H352" s="489">
        <f>G352/$G$341</f>
        <v>0.1090475379110581</v>
      </c>
      <c r="I352" s="332">
        <f>SUM(I353)</f>
        <v>6400</v>
      </c>
      <c r="J352" s="293">
        <v>5.4337367128156948E-2</v>
      </c>
      <c r="K352" s="333">
        <f>K353</f>
        <v>0</v>
      </c>
      <c r="L352" s="293">
        <f t="shared" ref="L352:L353" si="162">G352/I352</f>
        <v>1</v>
      </c>
      <c r="M352" s="294"/>
      <c r="N352" s="321"/>
      <c r="O352" s="322"/>
      <c r="P352" s="322"/>
      <c r="Q352" s="322"/>
      <c r="R352" s="322"/>
      <c r="S352" s="322"/>
      <c r="T352" s="322"/>
      <c r="U352" s="322"/>
      <c r="V352" s="322"/>
      <c r="W352" s="322"/>
      <c r="X352" s="322"/>
      <c r="Y352" s="322"/>
      <c r="Z352" s="322"/>
      <c r="AA352" s="322"/>
      <c r="AB352" s="322"/>
      <c r="AC352" s="322"/>
      <c r="AD352" s="322"/>
      <c r="AE352" s="322"/>
    </row>
    <row r="353" spans="1:31" ht="15.75" customHeight="1">
      <c r="A353" s="147"/>
      <c r="B353" s="146"/>
      <c r="C353" s="146"/>
      <c r="D353" s="146"/>
      <c r="E353" s="143" t="s">
        <v>128</v>
      </c>
      <c r="F353" s="264" t="s">
        <v>129</v>
      </c>
      <c r="G353" s="110">
        <v>6400</v>
      </c>
      <c r="H353" s="115">
        <f>G353/$G$352</f>
        <v>1</v>
      </c>
      <c r="I353" s="335">
        <v>6400</v>
      </c>
      <c r="J353" s="369">
        <f>I353/I352</f>
        <v>1</v>
      </c>
      <c r="K353" s="97">
        <f>I353-G353</f>
        <v>0</v>
      </c>
      <c r="L353" s="115">
        <f t="shared" si="162"/>
        <v>1</v>
      </c>
      <c r="M353" s="264" t="s">
        <v>438</v>
      </c>
      <c r="N353" s="170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 spans="1:31" ht="15.75" customHeight="1">
      <c r="A354" s="147"/>
      <c r="B354" s="146"/>
      <c r="C354" s="146"/>
      <c r="D354" s="146"/>
      <c r="E354" s="143"/>
      <c r="F354" s="264"/>
      <c r="G354" s="264"/>
      <c r="H354" s="115"/>
      <c r="I354" s="335"/>
      <c r="J354" s="369"/>
      <c r="K354" s="377"/>
      <c r="L354" s="369"/>
      <c r="M354" s="264" t="s">
        <v>439</v>
      </c>
      <c r="N354" s="170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 spans="1:31" ht="15.75" customHeight="1">
      <c r="A355" s="147"/>
      <c r="B355" s="146"/>
      <c r="C355" s="146"/>
      <c r="D355" s="146"/>
      <c r="E355" s="143"/>
      <c r="F355" s="264"/>
      <c r="G355" s="264"/>
      <c r="H355" s="115"/>
      <c r="I355" s="335"/>
      <c r="J355" s="369"/>
      <c r="K355" s="377"/>
      <c r="L355" s="369"/>
      <c r="M355" s="264" t="s">
        <v>437</v>
      </c>
      <c r="N355" s="170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 spans="1:31" ht="15.75" customHeight="1">
      <c r="A356" s="147"/>
      <c r="B356" s="316"/>
      <c r="C356" s="316" t="s">
        <v>46</v>
      </c>
      <c r="D356" s="316" t="s">
        <v>55</v>
      </c>
      <c r="E356" s="385"/>
      <c r="F356" s="465" t="s">
        <v>94</v>
      </c>
      <c r="G356" s="332">
        <f>SUM(G357:G360)</f>
        <v>12800</v>
      </c>
      <c r="H356" s="489">
        <f>G356/$G$341</f>
        <v>0.21809507582211621</v>
      </c>
      <c r="I356" s="332">
        <f>SUM(I357:I360)</f>
        <v>15320</v>
      </c>
      <c r="J356" s="293">
        <v>5.4337367128156948E-2</v>
      </c>
      <c r="K356" s="333">
        <f>K357</f>
        <v>0</v>
      </c>
      <c r="L356" s="293">
        <f t="shared" ref="L356:L357" si="163">G356/I356</f>
        <v>0.835509138381201</v>
      </c>
      <c r="M356" s="294"/>
      <c r="N356" s="321"/>
      <c r="O356" s="322"/>
      <c r="P356" s="322"/>
      <c r="Q356" s="322"/>
      <c r="R356" s="322"/>
      <c r="S356" s="322"/>
      <c r="T356" s="322"/>
      <c r="U356" s="322"/>
      <c r="V356" s="322"/>
      <c r="W356" s="322"/>
      <c r="X356" s="322"/>
      <c r="Y356" s="322"/>
      <c r="Z356" s="322"/>
      <c r="AA356" s="322"/>
      <c r="AB356" s="322"/>
      <c r="AC356" s="322"/>
      <c r="AD356" s="322"/>
      <c r="AE356" s="322"/>
    </row>
    <row r="357" spans="1:31" ht="15.75" customHeight="1">
      <c r="A357" s="147"/>
      <c r="B357" s="146"/>
      <c r="C357" s="146"/>
      <c r="D357" s="146"/>
      <c r="E357" s="143" t="s">
        <v>128</v>
      </c>
      <c r="F357" s="264" t="s">
        <v>129</v>
      </c>
      <c r="G357" s="110">
        <v>12800</v>
      </c>
      <c r="H357" s="115">
        <f>G357/$G$356</f>
        <v>1</v>
      </c>
      <c r="I357" s="335">
        <v>12800</v>
      </c>
      <c r="J357" s="369">
        <f>I357/$I$356</f>
        <v>0.835509138381201</v>
      </c>
      <c r="K357" s="97">
        <f>I357-G357</f>
        <v>0</v>
      </c>
      <c r="L357" s="115">
        <f t="shared" si="163"/>
        <v>1</v>
      </c>
      <c r="M357" s="264" t="s">
        <v>440</v>
      </c>
      <c r="N357" s="170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 spans="1:31" ht="15.75" customHeight="1">
      <c r="A358" s="147"/>
      <c r="B358" s="146"/>
      <c r="C358" s="146"/>
      <c r="D358" s="146"/>
      <c r="E358" s="143"/>
      <c r="F358" s="264"/>
      <c r="G358" s="264"/>
      <c r="H358" s="115"/>
      <c r="I358" s="335"/>
      <c r="J358" s="369"/>
      <c r="K358" s="377"/>
      <c r="L358" s="369"/>
      <c r="M358" s="264" t="s">
        <v>441</v>
      </c>
      <c r="N358" s="170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 spans="1:31" ht="15.75" customHeight="1">
      <c r="A359" s="147"/>
      <c r="B359" s="146"/>
      <c r="C359" s="146"/>
      <c r="D359" s="146"/>
      <c r="E359" s="143"/>
      <c r="F359" s="264"/>
      <c r="G359" s="264"/>
      <c r="H359" s="115"/>
      <c r="I359" s="335"/>
      <c r="J359" s="369"/>
      <c r="K359" s="377"/>
      <c r="L359" s="369"/>
      <c r="M359" s="264" t="s">
        <v>437</v>
      </c>
      <c r="N359" s="170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 spans="1:31" ht="15.75" customHeight="1">
      <c r="A360" s="147"/>
      <c r="B360" s="146"/>
      <c r="C360" s="146"/>
      <c r="D360" s="146"/>
      <c r="E360" s="143" t="s">
        <v>160</v>
      </c>
      <c r="F360" s="264" t="s">
        <v>161</v>
      </c>
      <c r="G360" s="264">
        <v>0</v>
      </c>
      <c r="H360" s="115">
        <f>G360/$G$356</f>
        <v>0</v>
      </c>
      <c r="I360" s="335">
        <v>2520</v>
      </c>
      <c r="J360" s="369">
        <f>I360/$I$356</f>
        <v>0.16449086161879894</v>
      </c>
      <c r="K360" s="97">
        <f t="shared" ref="K360:K361" si="164">I360-G360</f>
        <v>2520</v>
      </c>
      <c r="L360" s="115">
        <f>G360/I360</f>
        <v>0</v>
      </c>
      <c r="M360" s="264" t="s">
        <v>442</v>
      </c>
      <c r="N360" s="170"/>
      <c r="O360" s="3" t="s">
        <v>443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 spans="1:31" ht="21" customHeight="1">
      <c r="A361" s="147"/>
      <c r="B361" s="316"/>
      <c r="C361" s="316" t="s">
        <v>50</v>
      </c>
      <c r="D361" s="316" t="s">
        <v>50</v>
      </c>
      <c r="E361" s="385"/>
      <c r="F361" s="294" t="s">
        <v>51</v>
      </c>
      <c r="G361" s="294">
        <v>0</v>
      </c>
      <c r="H361" s="489">
        <f>G361/$G$341</f>
        <v>0</v>
      </c>
      <c r="I361" s="332">
        <v>4417</v>
      </c>
      <c r="J361" s="554">
        <f>I361/I341</f>
        <v>5.0001698042722753E-2</v>
      </c>
      <c r="K361" s="313">
        <f t="shared" si="164"/>
        <v>4417</v>
      </c>
      <c r="L361" s="554">
        <v>0</v>
      </c>
      <c r="M361" s="294" t="s">
        <v>164</v>
      </c>
      <c r="N361" s="321"/>
      <c r="O361" s="322"/>
      <c r="P361" s="322"/>
      <c r="Q361" s="322"/>
      <c r="R361" s="322"/>
      <c r="S361" s="322"/>
      <c r="T361" s="322"/>
      <c r="U361" s="322"/>
      <c r="V361" s="322"/>
      <c r="W361" s="322"/>
      <c r="X361" s="322"/>
      <c r="Y361" s="322"/>
      <c r="Z361" s="322"/>
      <c r="AA361" s="322"/>
      <c r="AB361" s="322"/>
      <c r="AC361" s="322"/>
      <c r="AD361" s="322"/>
      <c r="AE361" s="322"/>
    </row>
    <row r="362" spans="1:31" ht="15.75" customHeight="1">
      <c r="A362" s="147"/>
      <c r="B362" s="146"/>
      <c r="C362" s="146"/>
      <c r="D362" s="146"/>
      <c r="E362" s="143"/>
      <c r="F362" s="264"/>
      <c r="G362" s="264"/>
      <c r="H362" s="115"/>
      <c r="I362" s="335"/>
      <c r="J362" s="120"/>
      <c r="K362" s="384"/>
      <c r="L362" s="120"/>
      <c r="M362" s="370"/>
      <c r="N362" s="170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 spans="1:31" ht="15.75" customHeight="1">
      <c r="A363" s="147"/>
      <c r="B363" s="146"/>
      <c r="C363" s="146"/>
      <c r="D363" s="146"/>
      <c r="E363" s="143"/>
      <c r="F363" s="264"/>
      <c r="G363" s="264"/>
      <c r="H363" s="115"/>
      <c r="I363" s="335"/>
      <c r="J363" s="120"/>
      <c r="K363" s="384"/>
      <c r="L363" s="120"/>
      <c r="M363" s="264"/>
      <c r="N363" s="170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 spans="1:31" ht="15.75" customHeight="1">
      <c r="A364" s="147"/>
      <c r="B364" s="146"/>
      <c r="C364" s="146"/>
      <c r="D364" s="146"/>
      <c r="E364" s="143"/>
      <c r="F364" s="264"/>
      <c r="G364" s="264"/>
      <c r="H364" s="115"/>
      <c r="I364" s="335"/>
      <c r="J364" s="115"/>
      <c r="K364" s="97"/>
      <c r="L364" s="115"/>
      <c r="M364" s="264"/>
      <c r="N364" s="170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 spans="1:31" ht="15.75" customHeight="1">
      <c r="A365" s="265" t="s">
        <v>48</v>
      </c>
      <c r="B365" s="266" t="s">
        <v>46</v>
      </c>
      <c r="C365" s="266" t="s">
        <v>46</v>
      </c>
      <c r="D365" s="266" t="s">
        <v>46</v>
      </c>
      <c r="E365" s="267"/>
      <c r="F365" s="268" t="s">
        <v>27</v>
      </c>
      <c r="G365" s="269">
        <f>G366</f>
        <v>156075</v>
      </c>
      <c r="H365" s="270">
        <f>G365/G7</f>
        <v>0.13073743199266211</v>
      </c>
      <c r="I365" s="555">
        <f>I366</f>
        <v>243263</v>
      </c>
      <c r="J365" s="270">
        <f>I365/$I$7</f>
        <v>0.12957072814255055</v>
      </c>
      <c r="K365" s="556">
        <f>K366</f>
        <v>87188</v>
      </c>
      <c r="L365" s="270">
        <f t="shared" ref="L365:L368" si="165">G365/I365</f>
        <v>0.64158955533722761</v>
      </c>
      <c r="M365" s="268"/>
      <c r="N365" s="273"/>
      <c r="O365" s="274"/>
      <c r="P365" s="274"/>
      <c r="Q365" s="274"/>
      <c r="R365" s="274"/>
      <c r="S365" s="274"/>
      <c r="T365" s="274"/>
      <c r="U365" s="274"/>
      <c r="V365" s="274"/>
      <c r="W365" s="274"/>
      <c r="X365" s="274"/>
      <c r="Y365" s="274"/>
      <c r="Z365" s="274"/>
      <c r="AA365" s="274"/>
      <c r="AB365" s="274"/>
      <c r="AC365" s="274"/>
      <c r="AD365" s="274"/>
      <c r="AE365" s="274"/>
    </row>
    <row r="366" spans="1:31" ht="15.75" customHeight="1">
      <c r="A366" s="277"/>
      <c r="B366" s="278" t="s">
        <v>45</v>
      </c>
      <c r="C366" s="278" t="s">
        <v>46</v>
      </c>
      <c r="D366" s="278" t="s">
        <v>46</v>
      </c>
      <c r="E366" s="279"/>
      <c r="F366" s="280" t="s">
        <v>28</v>
      </c>
      <c r="G366" s="281">
        <f>SUM(G367,G387,G395,G401,G407,G411,G423)</f>
        <v>156075</v>
      </c>
      <c r="H366" s="282">
        <f>G366/G365</f>
        <v>1</v>
      </c>
      <c r="I366" s="330">
        <f>SUM(I367,I387,I395,I401,I407,I411,I423)</f>
        <v>243263</v>
      </c>
      <c r="J366" s="282">
        <f>I366/$I$365</f>
        <v>1</v>
      </c>
      <c r="K366" s="331">
        <f>SUM(K367,K387,K395,K401,K407,K411,K423)</f>
        <v>87188</v>
      </c>
      <c r="L366" s="282">
        <f t="shared" si="165"/>
        <v>0.64158955533722761</v>
      </c>
      <c r="M366" s="280"/>
      <c r="N366" s="284"/>
      <c r="O366" s="285"/>
      <c r="P366" s="285"/>
      <c r="Q366" s="285"/>
      <c r="R366" s="285"/>
      <c r="S366" s="285"/>
      <c r="T366" s="285"/>
      <c r="U366" s="285"/>
      <c r="V366" s="285"/>
      <c r="W366" s="285"/>
      <c r="X366" s="285"/>
      <c r="Y366" s="285"/>
      <c r="Z366" s="285"/>
      <c r="AA366" s="285"/>
      <c r="AB366" s="285"/>
      <c r="AC366" s="285"/>
      <c r="AD366" s="285"/>
      <c r="AE366" s="285"/>
    </row>
    <row r="367" spans="1:31" ht="15.75" customHeight="1">
      <c r="A367" s="147"/>
      <c r="B367" s="316"/>
      <c r="C367" s="316" t="s">
        <v>46</v>
      </c>
      <c r="D367" s="316" t="s">
        <v>45</v>
      </c>
      <c r="E367" s="385"/>
      <c r="F367" s="465" t="s">
        <v>95</v>
      </c>
      <c r="G367" s="332">
        <f>SUM(G368:G386)</f>
        <v>105161</v>
      </c>
      <c r="H367" s="489">
        <f>G367/$G$366</f>
        <v>0.67378503924395328</v>
      </c>
      <c r="I367" s="332">
        <f>SUM(I368:I386)</f>
        <v>127340</v>
      </c>
      <c r="J367" s="293">
        <f>I367/$I$366</f>
        <v>0.5234663717869138</v>
      </c>
      <c r="K367" s="313">
        <f>SUM(K368:K386)</f>
        <v>22179</v>
      </c>
      <c r="L367" s="293">
        <f t="shared" si="165"/>
        <v>0.82582849065493957</v>
      </c>
      <c r="M367" s="294"/>
      <c r="N367" s="321"/>
      <c r="O367" s="322"/>
      <c r="P367" s="322"/>
      <c r="Q367" s="322"/>
      <c r="R367" s="322"/>
      <c r="S367" s="322"/>
      <c r="T367" s="322"/>
      <c r="U367" s="322"/>
      <c r="V367" s="322"/>
      <c r="W367" s="322"/>
      <c r="X367" s="322"/>
      <c r="Y367" s="322"/>
      <c r="Z367" s="322"/>
      <c r="AA367" s="322"/>
      <c r="AB367" s="322"/>
      <c r="AC367" s="322"/>
      <c r="AD367" s="322"/>
      <c r="AE367" s="322"/>
    </row>
    <row r="368" spans="1:31" ht="15.75" customHeight="1">
      <c r="A368" s="437"/>
      <c r="B368" s="297"/>
      <c r="C368" s="297"/>
      <c r="D368" s="297"/>
      <c r="E368" s="146" t="s">
        <v>128</v>
      </c>
      <c r="F368" s="436" t="s">
        <v>129</v>
      </c>
      <c r="G368" s="301">
        <v>39490</v>
      </c>
      <c r="H368" s="483">
        <f>G368/$G$367</f>
        <v>0.37551944161809037</v>
      </c>
      <c r="I368" s="301">
        <v>48860</v>
      </c>
      <c r="J368" s="302">
        <f>I368/$I$367</f>
        <v>0.38369718862886759</v>
      </c>
      <c r="K368" s="97">
        <f>I368-G368</f>
        <v>9370</v>
      </c>
      <c r="L368" s="115">
        <f t="shared" si="165"/>
        <v>0.80822758902988134</v>
      </c>
      <c r="M368" s="264" t="s">
        <v>444</v>
      </c>
      <c r="N368" s="439"/>
      <c r="O368" s="527"/>
      <c r="P368" s="527"/>
      <c r="Q368" s="527"/>
      <c r="R368" s="527"/>
      <c r="S368" s="527"/>
      <c r="T368" s="527"/>
      <c r="U368" s="527"/>
      <c r="V368" s="527"/>
      <c r="W368" s="527"/>
      <c r="X368" s="527"/>
      <c r="Y368" s="527"/>
      <c r="Z368" s="527"/>
      <c r="AA368" s="527"/>
      <c r="AB368" s="527"/>
      <c r="AC368" s="527"/>
      <c r="AD368" s="527"/>
      <c r="AE368" s="527"/>
    </row>
    <row r="369" spans="1:31" ht="15.75" customHeight="1">
      <c r="A369" s="437"/>
      <c r="B369" s="297"/>
      <c r="C369" s="297"/>
      <c r="D369" s="297"/>
      <c r="E369" s="297"/>
      <c r="F369" s="231"/>
      <c r="G369" s="349"/>
      <c r="H369" s="483"/>
      <c r="I369" s="349"/>
      <c r="J369" s="302"/>
      <c r="K369" s="301"/>
      <c r="L369" s="302"/>
      <c r="M369" s="264" t="s">
        <v>445</v>
      </c>
      <c r="N369" s="439"/>
      <c r="O369" s="527"/>
      <c r="P369" s="527"/>
      <c r="Q369" s="527"/>
      <c r="R369" s="527"/>
      <c r="S369" s="527"/>
      <c r="T369" s="527"/>
      <c r="U369" s="527"/>
      <c r="V369" s="527"/>
      <c r="W369" s="527"/>
      <c r="X369" s="527"/>
      <c r="Y369" s="527"/>
      <c r="Z369" s="527"/>
      <c r="AA369" s="527"/>
      <c r="AB369" s="527"/>
      <c r="AC369" s="527"/>
      <c r="AD369" s="527"/>
      <c r="AE369" s="527"/>
    </row>
    <row r="370" spans="1:31" ht="15.75" customHeight="1">
      <c r="A370" s="437"/>
      <c r="B370" s="297"/>
      <c r="C370" s="297"/>
      <c r="D370" s="297"/>
      <c r="E370" s="297"/>
      <c r="F370" s="231"/>
      <c r="G370" s="349"/>
      <c r="H370" s="483"/>
      <c r="I370" s="349"/>
      <c r="J370" s="302"/>
      <c r="K370" s="301"/>
      <c r="L370" s="302"/>
      <c r="M370" s="264" t="s">
        <v>446</v>
      </c>
      <c r="N370" s="439"/>
      <c r="O370" s="527"/>
      <c r="P370" s="527"/>
      <c r="Q370" s="527"/>
      <c r="R370" s="527"/>
      <c r="S370" s="527"/>
      <c r="T370" s="527"/>
      <c r="U370" s="527"/>
      <c r="V370" s="527"/>
      <c r="W370" s="527"/>
      <c r="X370" s="527"/>
      <c r="Y370" s="527"/>
      <c r="Z370" s="527"/>
      <c r="AA370" s="527"/>
      <c r="AB370" s="527"/>
      <c r="AC370" s="527"/>
      <c r="AD370" s="527"/>
      <c r="AE370" s="527"/>
    </row>
    <row r="371" spans="1:31" ht="15.75" customHeight="1">
      <c r="A371" s="437"/>
      <c r="B371" s="297"/>
      <c r="C371" s="297"/>
      <c r="D371" s="297"/>
      <c r="E371" s="297"/>
      <c r="F371" s="231"/>
      <c r="G371" s="314"/>
      <c r="H371" s="483"/>
      <c r="I371" s="314"/>
      <c r="J371" s="302"/>
      <c r="K371" s="97"/>
      <c r="L371" s="115"/>
      <c r="M371" s="264" t="s">
        <v>447</v>
      </c>
      <c r="N371" s="439"/>
      <c r="O371" s="527"/>
      <c r="P371" s="527"/>
      <c r="Q371" s="527"/>
      <c r="R371" s="527"/>
      <c r="S371" s="527"/>
      <c r="T371" s="527"/>
      <c r="U371" s="527"/>
      <c r="V371" s="527"/>
      <c r="W371" s="527"/>
      <c r="X371" s="527"/>
      <c r="Y371" s="527"/>
      <c r="Z371" s="527"/>
      <c r="AA371" s="527"/>
      <c r="AB371" s="527"/>
      <c r="AC371" s="527"/>
      <c r="AD371" s="527"/>
      <c r="AE371" s="527"/>
    </row>
    <row r="372" spans="1:31" ht="15.75" customHeight="1">
      <c r="A372" s="437"/>
      <c r="B372" s="297"/>
      <c r="C372" s="297"/>
      <c r="D372" s="297"/>
      <c r="E372" s="297"/>
      <c r="F372" s="231"/>
      <c r="G372" s="314"/>
      <c r="H372" s="483"/>
      <c r="I372" s="314"/>
      <c r="J372" s="302"/>
      <c r="K372" s="97"/>
      <c r="L372" s="115"/>
      <c r="M372" s="264" t="s">
        <v>448</v>
      </c>
      <c r="N372" s="439"/>
      <c r="O372" s="527"/>
      <c r="P372" s="527"/>
      <c r="Q372" s="527"/>
      <c r="R372" s="527"/>
      <c r="S372" s="527"/>
      <c r="T372" s="527"/>
      <c r="U372" s="527"/>
      <c r="V372" s="527"/>
      <c r="W372" s="527"/>
      <c r="X372" s="527"/>
      <c r="Y372" s="527"/>
      <c r="Z372" s="527"/>
      <c r="AA372" s="527"/>
      <c r="AB372" s="527"/>
      <c r="AC372" s="527"/>
      <c r="AD372" s="527"/>
      <c r="AE372" s="527"/>
    </row>
    <row r="373" spans="1:31" ht="15.75" customHeight="1">
      <c r="A373" s="437"/>
      <c r="B373" s="297"/>
      <c r="C373" s="297"/>
      <c r="D373" s="297"/>
      <c r="E373" s="297"/>
      <c r="F373" s="231"/>
      <c r="G373" s="314"/>
      <c r="H373" s="483"/>
      <c r="I373" s="314"/>
      <c r="J373" s="302"/>
      <c r="K373" s="97"/>
      <c r="L373" s="115"/>
      <c r="M373" s="264" t="s">
        <v>449</v>
      </c>
      <c r="N373" s="439"/>
      <c r="O373" s="527"/>
      <c r="P373" s="527"/>
      <c r="Q373" s="527"/>
      <c r="R373" s="527"/>
      <c r="S373" s="527"/>
      <c r="T373" s="527"/>
      <c r="U373" s="527"/>
      <c r="V373" s="527"/>
      <c r="W373" s="527"/>
      <c r="X373" s="527"/>
      <c r="Y373" s="527"/>
      <c r="Z373" s="527"/>
      <c r="AA373" s="527"/>
      <c r="AB373" s="527"/>
      <c r="AC373" s="527"/>
      <c r="AD373" s="527"/>
      <c r="AE373" s="527"/>
    </row>
    <row r="374" spans="1:31" ht="15.75" customHeight="1">
      <c r="A374" s="437"/>
      <c r="B374" s="297"/>
      <c r="C374" s="297"/>
      <c r="D374" s="297"/>
      <c r="E374" s="297"/>
      <c r="F374" s="231"/>
      <c r="G374" s="314"/>
      <c r="H374" s="483"/>
      <c r="I374" s="314"/>
      <c r="J374" s="302"/>
      <c r="K374" s="97"/>
      <c r="L374" s="115"/>
      <c r="M374" s="264" t="s">
        <v>450</v>
      </c>
      <c r="N374" s="439"/>
      <c r="O374" s="527"/>
      <c r="P374" s="527"/>
      <c r="Q374" s="527"/>
      <c r="R374" s="527"/>
      <c r="S374" s="527"/>
      <c r="T374" s="527"/>
      <c r="U374" s="527"/>
      <c r="V374" s="527"/>
      <c r="W374" s="527"/>
      <c r="X374" s="527"/>
      <c r="Y374" s="527"/>
      <c r="Z374" s="527"/>
      <c r="AA374" s="527"/>
      <c r="AB374" s="527"/>
      <c r="AC374" s="527"/>
      <c r="AD374" s="527"/>
      <c r="AE374" s="527"/>
    </row>
    <row r="375" spans="1:31" ht="15.75" customHeight="1">
      <c r="A375" s="437"/>
      <c r="B375" s="297"/>
      <c r="C375" s="297"/>
      <c r="D375" s="297"/>
      <c r="E375" s="146" t="s">
        <v>208</v>
      </c>
      <c r="F375" s="436" t="s">
        <v>209</v>
      </c>
      <c r="G375" s="97">
        <v>10000</v>
      </c>
      <c r="H375" s="483">
        <f>G375/$G$367</f>
        <v>9.5092287064596187E-2</v>
      </c>
      <c r="I375" s="97">
        <v>10000</v>
      </c>
      <c r="J375" s="302">
        <f>I375/$I$367</f>
        <v>7.8529919899481701E-2</v>
      </c>
      <c r="K375" s="97">
        <f>I375-G375</f>
        <v>0</v>
      </c>
      <c r="L375" s="115">
        <f>G375/I375</f>
        <v>1</v>
      </c>
      <c r="M375" s="264" t="s">
        <v>451</v>
      </c>
      <c r="N375" s="439"/>
      <c r="O375" s="527"/>
      <c r="P375" s="527"/>
      <c r="Q375" s="527"/>
      <c r="R375" s="527"/>
      <c r="S375" s="527"/>
      <c r="T375" s="527"/>
      <c r="U375" s="527"/>
      <c r="V375" s="527"/>
      <c r="W375" s="527"/>
      <c r="X375" s="527"/>
      <c r="Y375" s="527"/>
      <c r="Z375" s="527"/>
      <c r="AA375" s="527"/>
      <c r="AB375" s="527"/>
      <c r="AC375" s="527"/>
      <c r="AD375" s="527"/>
      <c r="AE375" s="527"/>
    </row>
    <row r="376" spans="1:31" ht="15.75" customHeight="1">
      <c r="A376" s="437"/>
      <c r="B376" s="297"/>
      <c r="C376" s="297"/>
      <c r="D376" s="297"/>
      <c r="E376" s="297"/>
      <c r="F376" s="231"/>
      <c r="G376" s="314"/>
      <c r="H376" s="483"/>
      <c r="I376" s="314"/>
      <c r="J376" s="302"/>
      <c r="K376" s="97"/>
      <c r="L376" s="115"/>
      <c r="M376" s="264" t="s">
        <v>452</v>
      </c>
      <c r="N376" s="439"/>
      <c r="O376" s="527"/>
      <c r="P376" s="527"/>
      <c r="Q376" s="527"/>
      <c r="R376" s="527"/>
      <c r="S376" s="527"/>
      <c r="T376" s="527"/>
      <c r="U376" s="527"/>
      <c r="V376" s="527"/>
      <c r="W376" s="527"/>
      <c r="X376" s="527"/>
      <c r="Y376" s="527"/>
      <c r="Z376" s="527"/>
      <c r="AA376" s="527"/>
      <c r="AB376" s="527"/>
      <c r="AC376" s="527"/>
      <c r="AD376" s="527"/>
      <c r="AE376" s="527"/>
    </row>
    <row r="377" spans="1:31" ht="15.75" customHeight="1">
      <c r="A377" s="437"/>
      <c r="B377" s="297"/>
      <c r="C377" s="297"/>
      <c r="D377" s="297"/>
      <c r="E377" s="146" t="s">
        <v>224</v>
      </c>
      <c r="F377" s="436" t="s">
        <v>225</v>
      </c>
      <c r="G377" s="97">
        <v>1500</v>
      </c>
      <c r="H377" s="483">
        <f t="shared" ref="H377:H378" si="166">G377/$G$367</f>
        <v>1.4263843059689429E-2</v>
      </c>
      <c r="I377" s="97">
        <v>3000</v>
      </c>
      <c r="J377" s="302">
        <f t="shared" ref="J377:J378" si="167">I377/$I$367</f>
        <v>2.355897596984451E-2</v>
      </c>
      <c r="K377" s="97">
        <f t="shared" ref="K377:K378" si="168">I377-G377</f>
        <v>1500</v>
      </c>
      <c r="L377" s="115">
        <f t="shared" ref="L377:L378" si="169">G377/I377</f>
        <v>0.5</v>
      </c>
      <c r="M377" s="264" t="s">
        <v>453</v>
      </c>
      <c r="N377" s="439"/>
      <c r="O377" s="527"/>
      <c r="P377" s="527"/>
      <c r="Q377" s="527"/>
      <c r="R377" s="527"/>
      <c r="S377" s="527"/>
      <c r="T377" s="527"/>
      <c r="U377" s="527"/>
      <c r="V377" s="527"/>
      <c r="W377" s="527"/>
      <c r="X377" s="527"/>
      <c r="Y377" s="527"/>
      <c r="Z377" s="527"/>
      <c r="AA377" s="527"/>
      <c r="AB377" s="527"/>
      <c r="AC377" s="527"/>
      <c r="AD377" s="527"/>
      <c r="AE377" s="527"/>
    </row>
    <row r="378" spans="1:31" ht="15.75" customHeight="1">
      <c r="A378" s="437"/>
      <c r="B378" s="297"/>
      <c r="C378" s="297"/>
      <c r="D378" s="297"/>
      <c r="E378" s="146" t="s">
        <v>134</v>
      </c>
      <c r="F378" s="436" t="s">
        <v>135</v>
      </c>
      <c r="G378" s="97">
        <v>21000</v>
      </c>
      <c r="H378" s="483">
        <f t="shared" si="166"/>
        <v>0.199693802835652</v>
      </c>
      <c r="I378" s="97">
        <v>21000</v>
      </c>
      <c r="J378" s="302">
        <f t="shared" si="167"/>
        <v>0.16491283178891158</v>
      </c>
      <c r="K378" s="97">
        <f t="shared" si="168"/>
        <v>0</v>
      </c>
      <c r="L378" s="115">
        <f t="shared" si="169"/>
        <v>1</v>
      </c>
      <c r="M378" s="264" t="s">
        <v>454</v>
      </c>
      <c r="N378" s="439"/>
      <c r="O378" s="527"/>
      <c r="P378" s="527"/>
      <c r="Q378" s="527"/>
      <c r="R378" s="527"/>
      <c r="S378" s="527"/>
      <c r="T378" s="527"/>
      <c r="U378" s="527"/>
      <c r="V378" s="527"/>
      <c r="W378" s="527"/>
      <c r="X378" s="527"/>
      <c r="Y378" s="527"/>
      <c r="Z378" s="527"/>
      <c r="AA378" s="527"/>
      <c r="AB378" s="527"/>
      <c r="AC378" s="527"/>
      <c r="AD378" s="527"/>
      <c r="AE378" s="527"/>
    </row>
    <row r="379" spans="1:31" ht="15.75" customHeight="1">
      <c r="A379" s="437"/>
      <c r="B379" s="297"/>
      <c r="C379" s="297"/>
      <c r="D379" s="297"/>
      <c r="E379" s="297"/>
      <c r="F379" s="231"/>
      <c r="G379" s="314"/>
      <c r="H379" s="483"/>
      <c r="I379" s="314"/>
      <c r="J379" s="302"/>
      <c r="K379" s="97"/>
      <c r="L379" s="115"/>
      <c r="M379" s="264" t="s">
        <v>455</v>
      </c>
      <c r="N379" s="439"/>
      <c r="O379" s="527"/>
      <c r="P379" s="527"/>
      <c r="Q379" s="527"/>
      <c r="R379" s="527"/>
      <c r="S379" s="527"/>
      <c r="T379" s="527"/>
      <c r="U379" s="527"/>
      <c r="V379" s="527"/>
      <c r="W379" s="527"/>
      <c r="X379" s="527"/>
      <c r="Y379" s="527"/>
      <c r="Z379" s="527"/>
      <c r="AA379" s="527"/>
      <c r="AB379" s="527"/>
      <c r="AC379" s="527"/>
      <c r="AD379" s="527"/>
      <c r="AE379" s="527"/>
    </row>
    <row r="380" spans="1:31" ht="15.75" customHeight="1">
      <c r="A380" s="437"/>
      <c r="B380" s="297"/>
      <c r="C380" s="297"/>
      <c r="D380" s="297"/>
      <c r="E380" s="146" t="s">
        <v>138</v>
      </c>
      <c r="F380" s="436" t="s">
        <v>139</v>
      </c>
      <c r="G380" s="97">
        <v>23855</v>
      </c>
      <c r="H380" s="483">
        <f>G380/$G$367</f>
        <v>0.22684265079259422</v>
      </c>
      <c r="I380" s="97">
        <v>30000</v>
      </c>
      <c r="J380" s="302">
        <f>I380/$I$367</f>
        <v>0.23558975969844512</v>
      </c>
      <c r="K380" s="97">
        <f>I380-G380</f>
        <v>6145</v>
      </c>
      <c r="L380" s="115">
        <f>G380/I380</f>
        <v>0.79516666666666669</v>
      </c>
      <c r="M380" s="264" t="s">
        <v>456</v>
      </c>
      <c r="N380" s="439" t="s">
        <v>457</v>
      </c>
      <c r="O380" s="527"/>
      <c r="P380" s="527"/>
      <c r="Q380" s="527"/>
      <c r="R380" s="527"/>
      <c r="S380" s="527"/>
      <c r="T380" s="527"/>
      <c r="U380" s="527"/>
      <c r="V380" s="527"/>
      <c r="W380" s="527"/>
      <c r="X380" s="527"/>
      <c r="Y380" s="527"/>
      <c r="Z380" s="527"/>
      <c r="AA380" s="527"/>
      <c r="AB380" s="527"/>
      <c r="AC380" s="527"/>
      <c r="AD380" s="527"/>
      <c r="AE380" s="527"/>
    </row>
    <row r="381" spans="1:31" ht="15.75" customHeight="1">
      <c r="A381" s="437"/>
      <c r="B381" s="297"/>
      <c r="C381" s="297"/>
      <c r="D381" s="297"/>
      <c r="E381" s="297"/>
      <c r="F381" s="231"/>
      <c r="G381" s="314"/>
      <c r="H381" s="483"/>
      <c r="I381" s="314"/>
      <c r="J381" s="302"/>
      <c r="K381" s="97"/>
      <c r="L381" s="115"/>
      <c r="M381" s="264" t="s">
        <v>458</v>
      </c>
      <c r="N381" s="439"/>
      <c r="O381" s="527"/>
      <c r="P381" s="527"/>
      <c r="Q381" s="527"/>
      <c r="R381" s="527"/>
      <c r="S381" s="527"/>
      <c r="T381" s="527"/>
      <c r="U381" s="527"/>
      <c r="V381" s="527"/>
      <c r="W381" s="527"/>
      <c r="X381" s="527"/>
      <c r="Y381" s="527"/>
      <c r="Z381" s="527"/>
      <c r="AA381" s="527"/>
      <c r="AB381" s="527"/>
      <c r="AC381" s="527"/>
      <c r="AD381" s="527"/>
      <c r="AE381" s="527"/>
    </row>
    <row r="382" spans="1:31" ht="15.75" customHeight="1">
      <c r="A382" s="437"/>
      <c r="B382" s="297"/>
      <c r="C382" s="297"/>
      <c r="D382" s="297"/>
      <c r="E382" s="146" t="s">
        <v>143</v>
      </c>
      <c r="F382" s="436" t="s">
        <v>144</v>
      </c>
      <c r="G382" s="97">
        <v>4363</v>
      </c>
      <c r="H382" s="483">
        <f>G382/$G$367</f>
        <v>4.1488764846283319E-2</v>
      </c>
      <c r="I382" s="97">
        <v>4500</v>
      </c>
      <c r="J382" s="302">
        <f>I382/$I$367</f>
        <v>3.5338463954766766E-2</v>
      </c>
      <c r="K382" s="97">
        <f>I382-G382</f>
        <v>137</v>
      </c>
      <c r="L382" s="115">
        <f>G382/I382</f>
        <v>0.9695555555555555</v>
      </c>
      <c r="M382" s="264" t="s">
        <v>459</v>
      </c>
      <c r="N382" s="439"/>
      <c r="O382" s="527"/>
      <c r="P382" s="527"/>
      <c r="Q382" s="527"/>
      <c r="R382" s="527"/>
      <c r="S382" s="527"/>
      <c r="T382" s="527"/>
      <c r="U382" s="527"/>
      <c r="V382" s="527"/>
      <c r="W382" s="527"/>
      <c r="X382" s="527"/>
      <c r="Y382" s="527"/>
      <c r="Z382" s="527"/>
      <c r="AA382" s="527"/>
      <c r="AB382" s="527"/>
      <c r="AC382" s="527"/>
      <c r="AD382" s="527"/>
      <c r="AE382" s="527"/>
    </row>
    <row r="383" spans="1:31" ht="15.75" customHeight="1">
      <c r="A383" s="437"/>
      <c r="B383" s="297"/>
      <c r="C383" s="297"/>
      <c r="D383" s="297"/>
      <c r="E383" s="297"/>
      <c r="F383" s="231"/>
      <c r="G383" s="314"/>
      <c r="H383" s="483"/>
      <c r="I383" s="314"/>
      <c r="J383" s="302"/>
      <c r="K383" s="97"/>
      <c r="L383" s="115"/>
      <c r="M383" s="264" t="s">
        <v>460</v>
      </c>
      <c r="N383" s="439"/>
      <c r="O383" s="527"/>
      <c r="P383" s="527"/>
      <c r="Q383" s="527"/>
      <c r="R383" s="527"/>
      <c r="S383" s="527"/>
      <c r="T383" s="527"/>
      <c r="U383" s="527"/>
      <c r="V383" s="527"/>
      <c r="W383" s="527"/>
      <c r="X383" s="527"/>
      <c r="Y383" s="527"/>
      <c r="Z383" s="527"/>
      <c r="AA383" s="527"/>
      <c r="AB383" s="527"/>
      <c r="AC383" s="527"/>
      <c r="AD383" s="527"/>
      <c r="AE383" s="527"/>
    </row>
    <row r="384" spans="1:31" ht="15.75" customHeight="1">
      <c r="A384" s="437"/>
      <c r="B384" s="297"/>
      <c r="C384" s="297"/>
      <c r="D384" s="297"/>
      <c r="E384" s="146" t="s">
        <v>174</v>
      </c>
      <c r="F384" s="436" t="s">
        <v>175</v>
      </c>
      <c r="G384" s="97">
        <v>2220</v>
      </c>
      <c r="H384" s="483">
        <f t="shared" ref="H384:H386" si="170">G384/$G$367</f>
        <v>2.1110487728340354E-2</v>
      </c>
      <c r="I384" s="97">
        <v>6480</v>
      </c>
      <c r="J384" s="302">
        <f t="shared" ref="J384:J386" si="171">I384/$I$367</f>
        <v>5.0887388094864143E-2</v>
      </c>
      <c r="K384" s="97">
        <f t="shared" ref="K384:K386" si="172">I384-G384</f>
        <v>4260</v>
      </c>
      <c r="L384" s="115">
        <f t="shared" ref="L384:L391" si="173">G384/I384</f>
        <v>0.34259259259259262</v>
      </c>
      <c r="M384" s="264" t="s">
        <v>461</v>
      </c>
      <c r="N384" s="439"/>
      <c r="O384" s="527"/>
      <c r="P384" s="527"/>
      <c r="Q384" s="527"/>
      <c r="R384" s="527"/>
      <c r="S384" s="527"/>
      <c r="T384" s="527"/>
      <c r="U384" s="527"/>
      <c r="V384" s="527"/>
      <c r="W384" s="527"/>
      <c r="X384" s="527"/>
      <c r="Y384" s="527"/>
      <c r="Z384" s="527"/>
      <c r="AA384" s="527"/>
      <c r="AB384" s="527"/>
      <c r="AC384" s="527"/>
      <c r="AD384" s="527"/>
      <c r="AE384" s="527"/>
    </row>
    <row r="385" spans="1:31" ht="15.75" customHeight="1">
      <c r="A385" s="437"/>
      <c r="B385" s="297"/>
      <c r="C385" s="297"/>
      <c r="D385" s="297"/>
      <c r="E385" s="146" t="s">
        <v>160</v>
      </c>
      <c r="F385" s="436" t="s">
        <v>161</v>
      </c>
      <c r="G385" s="97">
        <v>2513</v>
      </c>
      <c r="H385" s="483">
        <f t="shared" si="170"/>
        <v>2.3896691739333023E-2</v>
      </c>
      <c r="I385" s="97">
        <v>3000</v>
      </c>
      <c r="J385" s="302">
        <f t="shared" si="171"/>
        <v>2.355897596984451E-2</v>
      </c>
      <c r="K385" s="97">
        <f t="shared" si="172"/>
        <v>487</v>
      </c>
      <c r="L385" s="115">
        <f t="shared" si="173"/>
        <v>0.83766666666666667</v>
      </c>
      <c r="M385" s="264" t="s">
        <v>462</v>
      </c>
      <c r="N385" s="439"/>
      <c r="O385" s="527"/>
      <c r="P385" s="527"/>
      <c r="Q385" s="527"/>
      <c r="R385" s="527"/>
      <c r="S385" s="527"/>
      <c r="T385" s="527"/>
      <c r="U385" s="527"/>
      <c r="V385" s="527"/>
      <c r="W385" s="527"/>
      <c r="X385" s="527"/>
      <c r="Y385" s="527"/>
      <c r="Z385" s="527"/>
      <c r="AA385" s="527"/>
      <c r="AB385" s="527"/>
      <c r="AC385" s="527"/>
      <c r="AD385" s="527"/>
      <c r="AE385" s="527"/>
    </row>
    <row r="386" spans="1:31" ht="15.75" customHeight="1">
      <c r="A386" s="437"/>
      <c r="B386" s="297"/>
      <c r="C386" s="297"/>
      <c r="D386" s="297"/>
      <c r="E386" s="146" t="s">
        <v>149</v>
      </c>
      <c r="F386" s="436" t="s">
        <v>150</v>
      </c>
      <c r="G386" s="97">
        <v>220</v>
      </c>
      <c r="H386" s="483">
        <f t="shared" si="170"/>
        <v>2.0920303154211162E-3</v>
      </c>
      <c r="I386" s="97">
        <v>500</v>
      </c>
      <c r="J386" s="302">
        <f t="shared" si="171"/>
        <v>3.9264959949740852E-3</v>
      </c>
      <c r="K386" s="97">
        <f t="shared" si="172"/>
        <v>280</v>
      </c>
      <c r="L386" s="115">
        <f t="shared" si="173"/>
        <v>0.44</v>
      </c>
      <c r="M386" s="264" t="s">
        <v>463</v>
      </c>
      <c r="N386" s="439"/>
      <c r="O386" s="527"/>
      <c r="P386" s="527"/>
      <c r="Q386" s="527"/>
      <c r="R386" s="527"/>
      <c r="S386" s="527"/>
      <c r="T386" s="527"/>
      <c r="U386" s="527"/>
      <c r="V386" s="527"/>
      <c r="W386" s="527"/>
      <c r="X386" s="527"/>
      <c r="Y386" s="527"/>
      <c r="Z386" s="527"/>
      <c r="AA386" s="527"/>
      <c r="AB386" s="527"/>
      <c r="AC386" s="527"/>
      <c r="AD386" s="527"/>
      <c r="AE386" s="527"/>
    </row>
    <row r="387" spans="1:31" ht="15.75" customHeight="1">
      <c r="A387" s="147"/>
      <c r="B387" s="316"/>
      <c r="C387" s="316" t="s">
        <v>46</v>
      </c>
      <c r="D387" s="316" t="s">
        <v>48</v>
      </c>
      <c r="E387" s="385"/>
      <c r="F387" s="465" t="s">
        <v>464</v>
      </c>
      <c r="G387" s="332">
        <f>SUM(G388:G394)</f>
        <v>8277</v>
      </c>
      <c r="H387" s="489">
        <f>G387/$G$366</f>
        <v>5.3032196059586735E-2</v>
      </c>
      <c r="I387" s="332">
        <f>SUM(I388:I394)</f>
        <v>14100</v>
      </c>
      <c r="J387" s="293">
        <f>I387/$I$366</f>
        <v>5.7961958867563092E-2</v>
      </c>
      <c r="K387" s="313">
        <f>SUM(K388:K394)</f>
        <v>5823</v>
      </c>
      <c r="L387" s="293">
        <f t="shared" si="173"/>
        <v>0.58702127659574466</v>
      </c>
      <c r="M387" s="294"/>
      <c r="N387" s="321"/>
      <c r="O387" s="322"/>
      <c r="P387" s="322"/>
      <c r="Q387" s="322"/>
      <c r="R387" s="322"/>
      <c r="S387" s="322"/>
      <c r="T387" s="322"/>
      <c r="U387" s="322"/>
      <c r="V387" s="322"/>
      <c r="W387" s="322"/>
      <c r="X387" s="322"/>
      <c r="Y387" s="322"/>
      <c r="Z387" s="322"/>
      <c r="AA387" s="322"/>
      <c r="AB387" s="322"/>
      <c r="AC387" s="322"/>
      <c r="AD387" s="322"/>
      <c r="AE387" s="322"/>
    </row>
    <row r="388" spans="1:31" ht="15.75" customHeight="1">
      <c r="A388" s="437"/>
      <c r="B388" s="297"/>
      <c r="C388" s="297"/>
      <c r="D388" s="297"/>
      <c r="E388" s="143" t="s">
        <v>348</v>
      </c>
      <c r="F388" s="3" t="s">
        <v>349</v>
      </c>
      <c r="G388" s="97">
        <v>3000</v>
      </c>
      <c r="H388" s="483">
        <f t="shared" ref="H388:H391" si="174">G388/$G$387</f>
        <v>0.36245016310257339</v>
      </c>
      <c r="I388" s="97">
        <v>4000</v>
      </c>
      <c r="J388" s="302">
        <f t="shared" ref="J388:J391" si="175">I388/$I$387</f>
        <v>0.28368794326241137</v>
      </c>
      <c r="K388" s="97">
        <f t="shared" ref="K388:K391" si="176">I388-G388</f>
        <v>1000</v>
      </c>
      <c r="L388" s="115">
        <f t="shared" si="173"/>
        <v>0.75</v>
      </c>
      <c r="M388" s="264" t="s">
        <v>465</v>
      </c>
      <c r="N388" s="439"/>
      <c r="O388" s="527"/>
      <c r="P388" s="527"/>
      <c r="Q388" s="527"/>
      <c r="R388" s="527"/>
      <c r="S388" s="527"/>
      <c r="T388" s="527"/>
      <c r="U388" s="527"/>
      <c r="V388" s="527"/>
      <c r="W388" s="527"/>
      <c r="X388" s="527"/>
      <c r="Y388" s="527"/>
      <c r="Z388" s="527"/>
      <c r="AA388" s="527"/>
      <c r="AB388" s="527"/>
      <c r="AC388" s="527"/>
      <c r="AD388" s="527"/>
      <c r="AE388" s="527"/>
    </row>
    <row r="389" spans="1:31" ht="15.75" customHeight="1">
      <c r="A389" s="437"/>
      <c r="B389" s="297"/>
      <c r="C389" s="297"/>
      <c r="D389" s="297"/>
      <c r="E389" s="143" t="s">
        <v>138</v>
      </c>
      <c r="F389" s="3" t="s">
        <v>139</v>
      </c>
      <c r="G389" s="97">
        <v>2680</v>
      </c>
      <c r="H389" s="483">
        <f t="shared" si="174"/>
        <v>0.32378881237163221</v>
      </c>
      <c r="I389" s="97">
        <v>6000</v>
      </c>
      <c r="J389" s="302">
        <f t="shared" si="175"/>
        <v>0.42553191489361702</v>
      </c>
      <c r="K389" s="97">
        <f t="shared" si="176"/>
        <v>3320</v>
      </c>
      <c r="L389" s="115">
        <f t="shared" si="173"/>
        <v>0.44666666666666666</v>
      </c>
      <c r="M389" s="264" t="s">
        <v>466</v>
      </c>
      <c r="N389" s="439" t="s">
        <v>457</v>
      </c>
      <c r="O389" s="527"/>
      <c r="P389" s="527"/>
      <c r="Q389" s="527"/>
      <c r="R389" s="527"/>
      <c r="S389" s="527"/>
      <c r="T389" s="527"/>
      <c r="U389" s="527"/>
      <c r="V389" s="527"/>
      <c r="W389" s="527"/>
      <c r="X389" s="527"/>
      <c r="Y389" s="527"/>
      <c r="Z389" s="527"/>
      <c r="AA389" s="527"/>
      <c r="AB389" s="527"/>
      <c r="AC389" s="527"/>
      <c r="AD389" s="527"/>
      <c r="AE389" s="527"/>
    </row>
    <row r="390" spans="1:31" ht="15.75" customHeight="1">
      <c r="A390" s="437"/>
      <c r="B390" s="297"/>
      <c r="C390" s="297"/>
      <c r="D390" s="297"/>
      <c r="E390" s="143" t="s">
        <v>143</v>
      </c>
      <c r="F390" s="3" t="s">
        <v>144</v>
      </c>
      <c r="G390" s="97">
        <v>67</v>
      </c>
      <c r="H390" s="483">
        <f t="shared" si="174"/>
        <v>8.0947203092908062E-3</v>
      </c>
      <c r="I390" s="97">
        <v>1000</v>
      </c>
      <c r="J390" s="302">
        <f t="shared" si="175"/>
        <v>7.0921985815602842E-2</v>
      </c>
      <c r="K390" s="97">
        <f t="shared" si="176"/>
        <v>933</v>
      </c>
      <c r="L390" s="115">
        <f t="shared" si="173"/>
        <v>6.7000000000000004E-2</v>
      </c>
      <c r="M390" s="264" t="s">
        <v>467</v>
      </c>
      <c r="N390" s="439"/>
      <c r="O390" s="527"/>
      <c r="P390" s="527"/>
      <c r="Q390" s="527"/>
      <c r="R390" s="527"/>
      <c r="S390" s="527"/>
      <c r="T390" s="527"/>
      <c r="U390" s="527"/>
      <c r="V390" s="527"/>
      <c r="W390" s="527"/>
      <c r="X390" s="527"/>
      <c r="Y390" s="527"/>
      <c r="Z390" s="527"/>
      <c r="AA390" s="527"/>
      <c r="AB390" s="527"/>
      <c r="AC390" s="527"/>
      <c r="AD390" s="527"/>
      <c r="AE390" s="527"/>
    </row>
    <row r="391" spans="1:31" ht="15.75" customHeight="1">
      <c r="A391" s="437"/>
      <c r="B391" s="297"/>
      <c r="C391" s="297"/>
      <c r="D391" s="297"/>
      <c r="E391" s="143" t="s">
        <v>301</v>
      </c>
      <c r="F391" s="3" t="s">
        <v>302</v>
      </c>
      <c r="G391" s="97">
        <v>2123</v>
      </c>
      <c r="H391" s="483">
        <f t="shared" si="174"/>
        <v>0.25649389875558776</v>
      </c>
      <c r="I391" s="97">
        <v>2400</v>
      </c>
      <c r="J391" s="302">
        <f t="shared" si="175"/>
        <v>0.1702127659574468</v>
      </c>
      <c r="K391" s="97">
        <f t="shared" si="176"/>
        <v>277</v>
      </c>
      <c r="L391" s="115">
        <f t="shared" si="173"/>
        <v>0.88458333333333339</v>
      </c>
      <c r="M391" s="264" t="s">
        <v>468</v>
      </c>
      <c r="N391" s="439"/>
      <c r="O391" s="527"/>
      <c r="P391" s="527"/>
      <c r="Q391" s="527"/>
      <c r="R391" s="527"/>
      <c r="S391" s="527"/>
      <c r="T391" s="527"/>
      <c r="U391" s="527"/>
      <c r="V391" s="527"/>
      <c r="W391" s="527"/>
      <c r="X391" s="527"/>
      <c r="Y391" s="527"/>
      <c r="Z391" s="527"/>
      <c r="AA391" s="527"/>
      <c r="AB391" s="527"/>
      <c r="AC391" s="527"/>
      <c r="AD391" s="527"/>
      <c r="AE391" s="527"/>
    </row>
    <row r="392" spans="1:31" ht="15.75" customHeight="1">
      <c r="A392" s="437"/>
      <c r="B392" s="297"/>
      <c r="C392" s="297"/>
      <c r="D392" s="297"/>
      <c r="E392" s="231"/>
      <c r="F392" s="304"/>
      <c r="G392" s="314"/>
      <c r="H392" s="483"/>
      <c r="I392" s="314"/>
      <c r="J392" s="302"/>
      <c r="K392" s="97"/>
      <c r="L392" s="115"/>
      <c r="M392" s="264" t="s">
        <v>469</v>
      </c>
      <c r="N392" s="439"/>
      <c r="O392" s="527"/>
      <c r="P392" s="527"/>
      <c r="Q392" s="527"/>
      <c r="R392" s="527"/>
      <c r="S392" s="527"/>
      <c r="T392" s="527"/>
      <c r="U392" s="527"/>
      <c r="V392" s="527"/>
      <c r="W392" s="527"/>
      <c r="X392" s="527"/>
      <c r="Y392" s="527"/>
      <c r="Z392" s="527"/>
      <c r="AA392" s="527"/>
      <c r="AB392" s="527"/>
      <c r="AC392" s="527"/>
      <c r="AD392" s="527"/>
      <c r="AE392" s="527"/>
    </row>
    <row r="393" spans="1:31" ht="15.75" customHeight="1">
      <c r="A393" s="437"/>
      <c r="B393" s="297"/>
      <c r="C393" s="297"/>
      <c r="D393" s="297"/>
      <c r="E393" s="143" t="s">
        <v>370</v>
      </c>
      <c r="F393" s="3" t="s">
        <v>371</v>
      </c>
      <c r="G393" s="97">
        <v>132</v>
      </c>
      <c r="H393" s="483">
        <f t="shared" ref="H393:H394" si="177">G393/$G$387</f>
        <v>1.5947807176513229E-2</v>
      </c>
      <c r="I393" s="97">
        <v>200</v>
      </c>
      <c r="J393" s="302">
        <f t="shared" ref="J393:J394" si="178">I393/$I$387</f>
        <v>1.4184397163120567E-2</v>
      </c>
      <c r="K393" s="97">
        <f t="shared" ref="K393:K394" si="179">I393-G393</f>
        <v>68</v>
      </c>
      <c r="L393" s="115">
        <f t="shared" ref="L393:L408" si="180">G393/I393</f>
        <v>0.66</v>
      </c>
      <c r="M393" s="264" t="s">
        <v>470</v>
      </c>
      <c r="N393" s="439"/>
      <c r="O393" s="527"/>
      <c r="P393" s="527"/>
      <c r="Q393" s="527"/>
      <c r="R393" s="527"/>
      <c r="S393" s="527"/>
      <c r="T393" s="527"/>
      <c r="U393" s="527"/>
      <c r="V393" s="527"/>
      <c r="W393" s="527"/>
      <c r="X393" s="527"/>
      <c r="Y393" s="527"/>
      <c r="Z393" s="527"/>
      <c r="AA393" s="527"/>
      <c r="AB393" s="527"/>
      <c r="AC393" s="527"/>
      <c r="AD393" s="527"/>
      <c r="AE393" s="527"/>
    </row>
    <row r="394" spans="1:31" ht="15.75" customHeight="1">
      <c r="A394" s="437"/>
      <c r="B394" s="297"/>
      <c r="C394" s="297"/>
      <c r="D394" s="297"/>
      <c r="E394" s="143" t="s">
        <v>149</v>
      </c>
      <c r="F394" s="3" t="s">
        <v>150</v>
      </c>
      <c r="G394" s="97">
        <v>275</v>
      </c>
      <c r="H394" s="483">
        <f t="shared" si="177"/>
        <v>3.3224598284402558E-2</v>
      </c>
      <c r="I394" s="97">
        <v>500</v>
      </c>
      <c r="J394" s="302">
        <f t="shared" si="178"/>
        <v>3.5460992907801421E-2</v>
      </c>
      <c r="K394" s="97">
        <f t="shared" si="179"/>
        <v>225</v>
      </c>
      <c r="L394" s="115">
        <f t="shared" si="180"/>
        <v>0.55000000000000004</v>
      </c>
      <c r="M394" s="264" t="s">
        <v>463</v>
      </c>
      <c r="N394" s="439"/>
      <c r="O394" s="527"/>
      <c r="P394" s="527"/>
      <c r="Q394" s="527"/>
      <c r="R394" s="527"/>
      <c r="S394" s="527"/>
      <c r="T394" s="527"/>
      <c r="U394" s="527"/>
      <c r="V394" s="527"/>
      <c r="W394" s="527"/>
      <c r="X394" s="527"/>
      <c r="Y394" s="527"/>
      <c r="Z394" s="527"/>
      <c r="AA394" s="527"/>
      <c r="AB394" s="527"/>
      <c r="AC394" s="527"/>
      <c r="AD394" s="527"/>
      <c r="AE394" s="527"/>
    </row>
    <row r="395" spans="1:31" ht="15.75" customHeight="1">
      <c r="A395" s="147"/>
      <c r="B395" s="316"/>
      <c r="C395" s="316" t="s">
        <v>46</v>
      </c>
      <c r="D395" s="316" t="s">
        <v>52</v>
      </c>
      <c r="E395" s="385"/>
      <c r="F395" s="465" t="s">
        <v>471</v>
      </c>
      <c r="G395" s="313">
        <f>SUM(G396:G400)</f>
        <v>0</v>
      </c>
      <c r="H395" s="489">
        <f>G395/$G$366</f>
        <v>0</v>
      </c>
      <c r="I395" s="332">
        <f>SUM(I396:I400)</f>
        <v>21860</v>
      </c>
      <c r="J395" s="293">
        <f>I395/$I$366</f>
        <v>8.9861590130846034E-2</v>
      </c>
      <c r="K395" s="313">
        <f>SUM(K396:K400)</f>
        <v>21860</v>
      </c>
      <c r="L395" s="293">
        <f t="shared" si="180"/>
        <v>0</v>
      </c>
      <c r="M395" s="294"/>
      <c r="N395" s="321"/>
      <c r="O395" s="322"/>
      <c r="P395" s="322"/>
      <c r="Q395" s="322"/>
      <c r="R395" s="322"/>
      <c r="S395" s="322"/>
      <c r="T395" s="322"/>
      <c r="U395" s="322"/>
      <c r="V395" s="322"/>
      <c r="W395" s="322"/>
      <c r="X395" s="322"/>
      <c r="Y395" s="322"/>
      <c r="Z395" s="322"/>
      <c r="AA395" s="322"/>
      <c r="AB395" s="322"/>
      <c r="AC395" s="322"/>
      <c r="AD395" s="322"/>
      <c r="AE395" s="322"/>
    </row>
    <row r="396" spans="1:31" ht="15.75" customHeight="1">
      <c r="A396" s="437"/>
      <c r="B396" s="297"/>
      <c r="C396" s="297"/>
      <c r="D396" s="297"/>
      <c r="E396" s="143" t="s">
        <v>128</v>
      </c>
      <c r="F396" s="264" t="s">
        <v>129</v>
      </c>
      <c r="G396" s="97">
        <v>0</v>
      </c>
      <c r="H396" s="483" t="e">
        <f t="shared" ref="H396:H400" si="181">G396/$G$395</f>
        <v>#DIV/0!</v>
      </c>
      <c r="I396" s="335">
        <v>4000</v>
      </c>
      <c r="J396" s="302">
        <f t="shared" ref="J396:J400" si="182">I396/$I$395</f>
        <v>0.18298261665141813</v>
      </c>
      <c r="K396" s="97">
        <f t="shared" ref="K396:K400" si="183">I396-G396</f>
        <v>4000</v>
      </c>
      <c r="L396" s="115">
        <f t="shared" si="180"/>
        <v>0</v>
      </c>
      <c r="M396" s="264" t="s">
        <v>472</v>
      </c>
      <c r="N396" s="439"/>
      <c r="O396" s="527"/>
      <c r="P396" s="527"/>
      <c r="Q396" s="527"/>
      <c r="R396" s="527"/>
      <c r="S396" s="527"/>
      <c r="T396" s="527"/>
      <c r="U396" s="527"/>
      <c r="V396" s="527"/>
      <c r="W396" s="527"/>
      <c r="X396" s="527"/>
      <c r="Y396" s="527"/>
      <c r="Z396" s="527"/>
      <c r="AA396" s="527"/>
      <c r="AB396" s="527"/>
      <c r="AC396" s="527"/>
      <c r="AD396" s="527"/>
      <c r="AE396" s="527"/>
    </row>
    <row r="397" spans="1:31" ht="15.75" customHeight="1">
      <c r="A397" s="437"/>
      <c r="B397" s="297"/>
      <c r="C397" s="297"/>
      <c r="D397" s="297"/>
      <c r="E397" s="143" t="s">
        <v>224</v>
      </c>
      <c r="F397" s="264" t="s">
        <v>225</v>
      </c>
      <c r="G397" s="97">
        <v>0</v>
      </c>
      <c r="H397" s="483" t="e">
        <f t="shared" si="181"/>
        <v>#DIV/0!</v>
      </c>
      <c r="I397" s="335">
        <v>8000</v>
      </c>
      <c r="J397" s="302">
        <f t="shared" si="182"/>
        <v>0.36596523330283626</v>
      </c>
      <c r="K397" s="97">
        <f t="shared" si="183"/>
        <v>8000</v>
      </c>
      <c r="L397" s="115">
        <f t="shared" si="180"/>
        <v>0</v>
      </c>
      <c r="M397" s="264" t="s">
        <v>473</v>
      </c>
      <c r="N397" s="439"/>
      <c r="O397" s="527"/>
      <c r="P397" s="527"/>
      <c r="Q397" s="527"/>
      <c r="R397" s="527"/>
      <c r="S397" s="527"/>
      <c r="T397" s="527"/>
      <c r="U397" s="527"/>
      <c r="V397" s="527"/>
      <c r="W397" s="527"/>
      <c r="X397" s="527"/>
      <c r="Y397" s="527"/>
      <c r="Z397" s="527"/>
      <c r="AA397" s="527"/>
      <c r="AB397" s="527"/>
      <c r="AC397" s="527"/>
      <c r="AD397" s="527"/>
      <c r="AE397" s="527"/>
    </row>
    <row r="398" spans="1:31" ht="15.75" customHeight="1">
      <c r="A398" s="437"/>
      <c r="B398" s="297"/>
      <c r="C398" s="297"/>
      <c r="D398" s="297"/>
      <c r="E398" s="143" t="s">
        <v>138</v>
      </c>
      <c r="F398" s="264" t="s">
        <v>139</v>
      </c>
      <c r="G398" s="97">
        <v>0</v>
      </c>
      <c r="H398" s="483" t="e">
        <f t="shared" si="181"/>
        <v>#DIV/0!</v>
      </c>
      <c r="I398" s="335">
        <v>7200</v>
      </c>
      <c r="J398" s="302">
        <f t="shared" si="182"/>
        <v>0.32936870997255263</v>
      </c>
      <c r="K398" s="97">
        <f t="shared" si="183"/>
        <v>7200</v>
      </c>
      <c r="L398" s="115">
        <f t="shared" si="180"/>
        <v>0</v>
      </c>
      <c r="M398" s="264" t="s">
        <v>474</v>
      </c>
      <c r="N398" s="439" t="s">
        <v>457</v>
      </c>
      <c r="O398" s="527"/>
      <c r="P398" s="527"/>
      <c r="Q398" s="527"/>
      <c r="R398" s="527"/>
      <c r="S398" s="527"/>
      <c r="T398" s="527"/>
      <c r="U398" s="527"/>
      <c r="V398" s="527"/>
      <c r="W398" s="527"/>
      <c r="X398" s="527"/>
      <c r="Y398" s="527"/>
      <c r="Z398" s="527"/>
      <c r="AA398" s="527"/>
      <c r="AB398" s="527"/>
      <c r="AC398" s="527"/>
      <c r="AD398" s="527"/>
      <c r="AE398" s="527"/>
    </row>
    <row r="399" spans="1:31" ht="15.75" customHeight="1">
      <c r="A399" s="437"/>
      <c r="B399" s="297"/>
      <c r="C399" s="297"/>
      <c r="D399" s="297"/>
      <c r="E399" s="143" t="s">
        <v>174</v>
      </c>
      <c r="F399" s="264" t="s">
        <v>175</v>
      </c>
      <c r="G399" s="97">
        <v>0</v>
      </c>
      <c r="H399" s="483" t="e">
        <f t="shared" si="181"/>
        <v>#DIV/0!</v>
      </c>
      <c r="I399" s="335">
        <v>2160</v>
      </c>
      <c r="J399" s="302">
        <f t="shared" si="182"/>
        <v>9.8810612991765787E-2</v>
      </c>
      <c r="K399" s="97">
        <f t="shared" si="183"/>
        <v>2160</v>
      </c>
      <c r="L399" s="115">
        <f t="shared" si="180"/>
        <v>0</v>
      </c>
      <c r="M399" s="264" t="s">
        <v>475</v>
      </c>
      <c r="N399" s="439"/>
      <c r="O399" s="527"/>
      <c r="P399" s="527"/>
      <c r="Q399" s="527"/>
      <c r="R399" s="527"/>
      <c r="S399" s="527"/>
      <c r="T399" s="527"/>
      <c r="U399" s="527"/>
      <c r="V399" s="527"/>
      <c r="W399" s="527"/>
      <c r="X399" s="527"/>
      <c r="Y399" s="527"/>
      <c r="Z399" s="527"/>
      <c r="AA399" s="527"/>
      <c r="AB399" s="527"/>
      <c r="AC399" s="527"/>
      <c r="AD399" s="527"/>
      <c r="AE399" s="527"/>
    </row>
    <row r="400" spans="1:31" ht="15.75" customHeight="1">
      <c r="A400" s="437"/>
      <c r="B400" s="297"/>
      <c r="C400" s="297"/>
      <c r="D400" s="297"/>
      <c r="E400" s="143" t="s">
        <v>149</v>
      </c>
      <c r="F400" s="264" t="s">
        <v>150</v>
      </c>
      <c r="G400" s="97">
        <v>0</v>
      </c>
      <c r="H400" s="483" t="e">
        <f t="shared" si="181"/>
        <v>#DIV/0!</v>
      </c>
      <c r="I400" s="335">
        <v>500</v>
      </c>
      <c r="J400" s="302">
        <f t="shared" si="182"/>
        <v>2.2872827081427266E-2</v>
      </c>
      <c r="K400" s="97">
        <f t="shared" si="183"/>
        <v>500</v>
      </c>
      <c r="L400" s="115">
        <f t="shared" si="180"/>
        <v>0</v>
      </c>
      <c r="M400" s="264" t="s">
        <v>463</v>
      </c>
      <c r="N400" s="439"/>
      <c r="O400" s="527"/>
      <c r="P400" s="527"/>
      <c r="Q400" s="527"/>
      <c r="R400" s="527"/>
      <c r="S400" s="527"/>
      <c r="T400" s="527"/>
      <c r="U400" s="527"/>
      <c r="V400" s="527"/>
      <c r="W400" s="527"/>
      <c r="X400" s="527"/>
      <c r="Y400" s="527"/>
      <c r="Z400" s="527"/>
      <c r="AA400" s="527"/>
      <c r="AB400" s="527"/>
      <c r="AC400" s="527"/>
      <c r="AD400" s="527"/>
      <c r="AE400" s="527"/>
    </row>
    <row r="401" spans="1:31" ht="15.75" customHeight="1">
      <c r="A401" s="147"/>
      <c r="B401" s="316"/>
      <c r="C401" s="316" t="s">
        <v>46</v>
      </c>
      <c r="D401" s="316" t="s">
        <v>53</v>
      </c>
      <c r="E401" s="385"/>
      <c r="F401" s="465" t="s">
        <v>98</v>
      </c>
      <c r="G401" s="332">
        <f>SUM(G402:G406)</f>
        <v>18704</v>
      </c>
      <c r="H401" s="489">
        <f>G401/$G$366</f>
        <v>0.11983982059907096</v>
      </c>
      <c r="I401" s="332">
        <f>SUM(I402:I406)</f>
        <v>19300</v>
      </c>
      <c r="J401" s="293">
        <f>I401/$I$366</f>
        <v>7.9338000435742392E-2</v>
      </c>
      <c r="K401" s="313">
        <f>SUM(K402:K406)</f>
        <v>596</v>
      </c>
      <c r="L401" s="293">
        <f t="shared" si="180"/>
        <v>0.96911917098445599</v>
      </c>
      <c r="M401" s="294"/>
      <c r="N401" s="321"/>
      <c r="O401" s="322"/>
      <c r="P401" s="322"/>
      <c r="Q401" s="322"/>
      <c r="R401" s="322"/>
      <c r="S401" s="322"/>
      <c r="T401" s="322"/>
      <c r="U401" s="322"/>
      <c r="V401" s="322"/>
      <c r="W401" s="322"/>
      <c r="X401" s="322"/>
      <c r="Y401" s="322"/>
      <c r="Z401" s="322"/>
      <c r="AA401" s="322"/>
      <c r="AB401" s="322"/>
      <c r="AC401" s="322"/>
      <c r="AD401" s="322"/>
      <c r="AE401" s="322"/>
    </row>
    <row r="402" spans="1:31" ht="15.75" customHeight="1">
      <c r="A402" s="437"/>
      <c r="B402" s="297"/>
      <c r="C402" s="297"/>
      <c r="D402" s="297"/>
      <c r="E402" s="143" t="s">
        <v>348</v>
      </c>
      <c r="F402" s="264" t="s">
        <v>349</v>
      </c>
      <c r="G402" s="335">
        <v>4000</v>
      </c>
      <c r="H402" s="483">
        <f t="shared" ref="H402:H406" si="184">G402/$G$401</f>
        <v>0.21385799828913601</v>
      </c>
      <c r="I402" s="335">
        <v>4000</v>
      </c>
      <c r="J402" s="302">
        <f t="shared" ref="J402:J406" si="185">I402/$I$401</f>
        <v>0.20725388601036268</v>
      </c>
      <c r="K402" s="97">
        <f t="shared" ref="K402:K406" si="186">I402-G402</f>
        <v>0</v>
      </c>
      <c r="L402" s="115">
        <f t="shared" si="180"/>
        <v>1</v>
      </c>
      <c r="M402" s="264" t="s">
        <v>465</v>
      </c>
      <c r="N402" s="439"/>
      <c r="O402" s="527"/>
      <c r="P402" s="527"/>
      <c r="Q402" s="527"/>
      <c r="R402" s="527"/>
      <c r="S402" s="527"/>
      <c r="T402" s="527"/>
      <c r="U402" s="527"/>
      <c r="V402" s="527"/>
      <c r="W402" s="527"/>
      <c r="X402" s="527"/>
      <c r="Y402" s="527"/>
      <c r="Z402" s="527"/>
      <c r="AA402" s="527"/>
      <c r="AB402" s="527"/>
      <c r="AC402" s="527"/>
      <c r="AD402" s="527"/>
      <c r="AE402" s="527"/>
    </row>
    <row r="403" spans="1:31" ht="15.75" customHeight="1">
      <c r="A403" s="437"/>
      <c r="B403" s="297"/>
      <c r="C403" s="297"/>
      <c r="D403" s="297"/>
      <c r="E403" s="143" t="s">
        <v>224</v>
      </c>
      <c r="F403" s="264" t="s">
        <v>225</v>
      </c>
      <c r="G403" s="335">
        <v>8000</v>
      </c>
      <c r="H403" s="483">
        <f t="shared" si="184"/>
        <v>0.42771599657827203</v>
      </c>
      <c r="I403" s="335">
        <v>8000</v>
      </c>
      <c r="J403" s="302">
        <f t="shared" si="185"/>
        <v>0.41450777202072536</v>
      </c>
      <c r="K403" s="97">
        <f t="shared" si="186"/>
        <v>0</v>
      </c>
      <c r="L403" s="115">
        <f t="shared" si="180"/>
        <v>1</v>
      </c>
      <c r="M403" s="264" t="s">
        <v>473</v>
      </c>
      <c r="N403" s="439"/>
      <c r="O403" s="527"/>
      <c r="P403" s="527"/>
      <c r="Q403" s="527"/>
      <c r="R403" s="527"/>
      <c r="S403" s="527"/>
      <c r="T403" s="527"/>
      <c r="U403" s="527"/>
      <c r="V403" s="527"/>
      <c r="W403" s="527"/>
      <c r="X403" s="527"/>
      <c r="Y403" s="527"/>
      <c r="Z403" s="527"/>
      <c r="AA403" s="527"/>
      <c r="AB403" s="527"/>
      <c r="AC403" s="527"/>
      <c r="AD403" s="527"/>
      <c r="AE403" s="527"/>
    </row>
    <row r="404" spans="1:31" ht="15.75" customHeight="1">
      <c r="A404" s="437"/>
      <c r="B404" s="297"/>
      <c r="C404" s="297"/>
      <c r="D404" s="297"/>
      <c r="E404" s="143" t="s">
        <v>138</v>
      </c>
      <c r="F404" s="264" t="s">
        <v>139</v>
      </c>
      <c r="G404" s="335">
        <v>4800</v>
      </c>
      <c r="H404" s="483">
        <f t="shared" si="184"/>
        <v>0.25662959794696322</v>
      </c>
      <c r="I404" s="335">
        <v>4800</v>
      </c>
      <c r="J404" s="302">
        <f t="shared" si="185"/>
        <v>0.24870466321243523</v>
      </c>
      <c r="K404" s="97">
        <f t="shared" si="186"/>
        <v>0</v>
      </c>
      <c r="L404" s="115">
        <f t="shared" si="180"/>
        <v>1</v>
      </c>
      <c r="M404" s="264" t="s">
        <v>476</v>
      </c>
      <c r="N404" s="439" t="s">
        <v>457</v>
      </c>
      <c r="O404" s="527"/>
      <c r="P404" s="527"/>
      <c r="Q404" s="527"/>
      <c r="R404" s="527"/>
      <c r="S404" s="527"/>
      <c r="T404" s="527"/>
      <c r="U404" s="527"/>
      <c r="V404" s="527"/>
      <c r="W404" s="527"/>
      <c r="X404" s="527"/>
      <c r="Y404" s="527"/>
      <c r="Z404" s="527"/>
      <c r="AA404" s="527"/>
      <c r="AB404" s="527"/>
      <c r="AC404" s="527"/>
      <c r="AD404" s="527"/>
      <c r="AE404" s="527"/>
    </row>
    <row r="405" spans="1:31" ht="15.75" customHeight="1">
      <c r="A405" s="437"/>
      <c r="B405" s="297"/>
      <c r="C405" s="297"/>
      <c r="D405" s="297"/>
      <c r="E405" s="143" t="s">
        <v>198</v>
      </c>
      <c r="F405" s="264" t="s">
        <v>199</v>
      </c>
      <c r="G405" s="335">
        <v>1484</v>
      </c>
      <c r="H405" s="483">
        <f t="shared" si="184"/>
        <v>7.9341317365269462E-2</v>
      </c>
      <c r="I405" s="335">
        <v>2000</v>
      </c>
      <c r="J405" s="302">
        <f t="shared" si="185"/>
        <v>0.10362694300518134</v>
      </c>
      <c r="K405" s="97">
        <f t="shared" si="186"/>
        <v>516</v>
      </c>
      <c r="L405" s="115">
        <f t="shared" si="180"/>
        <v>0.74199999999999999</v>
      </c>
      <c r="M405" s="264" t="s">
        <v>477</v>
      </c>
      <c r="N405" s="439"/>
      <c r="O405" s="527"/>
      <c r="P405" s="527"/>
      <c r="Q405" s="527"/>
      <c r="R405" s="527"/>
      <c r="S405" s="527"/>
      <c r="T405" s="527"/>
      <c r="U405" s="527"/>
      <c r="V405" s="527"/>
      <c r="W405" s="527"/>
      <c r="X405" s="527"/>
      <c r="Y405" s="527"/>
      <c r="Z405" s="527"/>
      <c r="AA405" s="527"/>
      <c r="AB405" s="527"/>
      <c r="AC405" s="527"/>
      <c r="AD405" s="527"/>
      <c r="AE405" s="527"/>
    </row>
    <row r="406" spans="1:31" ht="15.75" customHeight="1">
      <c r="A406" s="437"/>
      <c r="B406" s="297"/>
      <c r="C406" s="297"/>
      <c r="D406" s="297"/>
      <c r="E406" s="143" t="s">
        <v>149</v>
      </c>
      <c r="F406" s="264" t="s">
        <v>150</v>
      </c>
      <c r="G406" s="335">
        <v>420</v>
      </c>
      <c r="H406" s="483">
        <f t="shared" si="184"/>
        <v>2.2455089820359281E-2</v>
      </c>
      <c r="I406" s="335">
        <v>500</v>
      </c>
      <c r="J406" s="302">
        <f t="shared" si="185"/>
        <v>2.5906735751295335E-2</v>
      </c>
      <c r="K406" s="97">
        <f t="shared" si="186"/>
        <v>80</v>
      </c>
      <c r="L406" s="115">
        <f t="shared" si="180"/>
        <v>0.84</v>
      </c>
      <c r="M406" s="264" t="s">
        <v>463</v>
      </c>
      <c r="N406" s="439"/>
      <c r="O406" s="527"/>
      <c r="P406" s="527"/>
      <c r="Q406" s="527"/>
      <c r="R406" s="527"/>
      <c r="S406" s="527"/>
      <c r="T406" s="527"/>
      <c r="U406" s="527"/>
      <c r="V406" s="527"/>
      <c r="W406" s="527"/>
      <c r="X406" s="527"/>
      <c r="Y406" s="527"/>
      <c r="Z406" s="527"/>
      <c r="AA406" s="527"/>
      <c r="AB406" s="527"/>
      <c r="AC406" s="527"/>
      <c r="AD406" s="527"/>
      <c r="AE406" s="527"/>
    </row>
    <row r="407" spans="1:31" ht="15.75" customHeight="1">
      <c r="A407" s="147"/>
      <c r="B407" s="316"/>
      <c r="C407" s="316" t="s">
        <v>46</v>
      </c>
      <c r="D407" s="316" t="s">
        <v>55</v>
      </c>
      <c r="E407" s="385"/>
      <c r="F407" s="465" t="s">
        <v>99</v>
      </c>
      <c r="G407" s="313">
        <f>SUM(G408:G410)</f>
        <v>0</v>
      </c>
      <c r="H407" s="489">
        <f>G407/$G$366</f>
        <v>0</v>
      </c>
      <c r="I407" s="332">
        <f>SUM(I408:I410)</f>
        <v>13000</v>
      </c>
      <c r="J407" s="293">
        <f>I407/$I$366</f>
        <v>5.3440103920448241E-2</v>
      </c>
      <c r="K407" s="313">
        <f>SUM(K408:K410)</f>
        <v>13000</v>
      </c>
      <c r="L407" s="293">
        <f t="shared" si="180"/>
        <v>0</v>
      </c>
      <c r="M407" s="294"/>
      <c r="N407" s="321"/>
      <c r="O407" s="322"/>
      <c r="P407" s="322"/>
      <c r="Q407" s="322"/>
      <c r="R407" s="322"/>
      <c r="S407" s="322"/>
      <c r="T407" s="322"/>
      <c r="U407" s="322"/>
      <c r="V407" s="322"/>
      <c r="W407" s="322"/>
      <c r="X407" s="322"/>
      <c r="Y407" s="322"/>
      <c r="Z407" s="322"/>
      <c r="AA407" s="322"/>
      <c r="AB407" s="322"/>
      <c r="AC407" s="322"/>
      <c r="AD407" s="322"/>
      <c r="AE407" s="322"/>
    </row>
    <row r="408" spans="1:31" ht="15.75" customHeight="1">
      <c r="A408" s="437"/>
      <c r="B408" s="297"/>
      <c r="C408" s="297"/>
      <c r="D408" s="297"/>
      <c r="E408" s="143" t="s">
        <v>224</v>
      </c>
      <c r="F408" s="264" t="s">
        <v>225</v>
      </c>
      <c r="G408" s="97">
        <v>0</v>
      </c>
      <c r="H408" s="483">
        <v>0</v>
      </c>
      <c r="I408" s="335">
        <v>4000</v>
      </c>
      <c r="J408" s="302">
        <f>I408/$I$407</f>
        <v>0.30769230769230771</v>
      </c>
      <c r="K408" s="97">
        <f>I408-G408</f>
        <v>4000</v>
      </c>
      <c r="L408" s="115">
        <f t="shared" si="180"/>
        <v>0</v>
      </c>
      <c r="M408" s="264" t="s">
        <v>478</v>
      </c>
      <c r="N408" s="439"/>
      <c r="O408" s="527"/>
      <c r="P408" s="527"/>
      <c r="Q408" s="527"/>
      <c r="R408" s="527"/>
      <c r="S408" s="527"/>
      <c r="T408" s="527"/>
      <c r="U408" s="527"/>
      <c r="V408" s="527"/>
      <c r="W408" s="527"/>
      <c r="X408" s="527"/>
      <c r="Y408" s="527"/>
      <c r="Z408" s="527"/>
      <c r="AA408" s="527"/>
      <c r="AB408" s="527"/>
      <c r="AC408" s="527"/>
      <c r="AD408" s="527"/>
      <c r="AE408" s="527"/>
    </row>
    <row r="409" spans="1:31" ht="15.75" customHeight="1">
      <c r="A409" s="437"/>
      <c r="B409" s="297"/>
      <c r="C409" s="297"/>
      <c r="D409" s="297"/>
      <c r="E409" s="231"/>
      <c r="F409" s="349"/>
      <c r="G409" s="314"/>
      <c r="H409" s="483"/>
      <c r="I409" s="414"/>
      <c r="J409" s="302"/>
      <c r="K409" s="97"/>
      <c r="L409" s="115"/>
      <c r="M409" s="264" t="s">
        <v>479</v>
      </c>
      <c r="N409" s="439"/>
      <c r="O409" s="527"/>
      <c r="P409" s="527"/>
      <c r="Q409" s="527"/>
      <c r="R409" s="527"/>
      <c r="S409" s="527"/>
      <c r="T409" s="527"/>
      <c r="U409" s="527"/>
      <c r="V409" s="527"/>
      <c r="W409" s="527"/>
      <c r="X409" s="527"/>
      <c r="Y409" s="527"/>
      <c r="Z409" s="527"/>
      <c r="AA409" s="527"/>
      <c r="AB409" s="527"/>
      <c r="AC409" s="527"/>
      <c r="AD409" s="527"/>
      <c r="AE409" s="527"/>
    </row>
    <row r="410" spans="1:31" ht="15.75" customHeight="1">
      <c r="A410" s="437"/>
      <c r="B410" s="297"/>
      <c r="C410" s="297"/>
      <c r="D410" s="297"/>
      <c r="E410" s="143" t="s">
        <v>174</v>
      </c>
      <c r="F410" s="264" t="s">
        <v>175</v>
      </c>
      <c r="G410" s="97">
        <v>0</v>
      </c>
      <c r="H410" s="483">
        <v>0</v>
      </c>
      <c r="I410" s="335">
        <v>9000</v>
      </c>
      <c r="J410" s="302">
        <f>I410/$I$407</f>
        <v>0.69230769230769229</v>
      </c>
      <c r="K410" s="97">
        <f>I410-G410</f>
        <v>9000</v>
      </c>
      <c r="L410" s="115">
        <f t="shared" ref="L410:L412" si="187">G410/I410</f>
        <v>0</v>
      </c>
      <c r="M410" s="264" t="s">
        <v>480</v>
      </c>
      <c r="N410" s="439" t="s">
        <v>481</v>
      </c>
      <c r="O410" s="527"/>
      <c r="P410" s="527"/>
      <c r="Q410" s="527"/>
      <c r="R410" s="527"/>
      <c r="S410" s="527"/>
      <c r="T410" s="527"/>
      <c r="U410" s="527"/>
      <c r="V410" s="527"/>
      <c r="W410" s="527"/>
      <c r="X410" s="527"/>
      <c r="Y410" s="527"/>
      <c r="Z410" s="527"/>
      <c r="AA410" s="527"/>
      <c r="AB410" s="527"/>
      <c r="AC410" s="527"/>
      <c r="AD410" s="527"/>
      <c r="AE410" s="527"/>
    </row>
    <row r="411" spans="1:31" ht="15.75" customHeight="1">
      <c r="A411" s="147"/>
      <c r="B411" s="316"/>
      <c r="C411" s="316" t="s">
        <v>46</v>
      </c>
      <c r="D411" s="316" t="s">
        <v>61</v>
      </c>
      <c r="E411" s="385"/>
      <c r="F411" s="465" t="s">
        <v>100</v>
      </c>
      <c r="G411" s="332">
        <f>SUM(G412:G422)</f>
        <v>23514</v>
      </c>
      <c r="H411" s="489">
        <f>G411/$G$366</f>
        <v>0.15065833733781836</v>
      </c>
      <c r="I411" s="332">
        <f>SUM(I412:I422)</f>
        <v>35500</v>
      </c>
      <c r="J411" s="293">
        <f>I411/$I$366</f>
        <v>0.14593259147507018</v>
      </c>
      <c r="K411" s="313">
        <f>SUM(K412:K422)</f>
        <v>11986</v>
      </c>
      <c r="L411" s="293">
        <f t="shared" si="187"/>
        <v>0.66236619718309864</v>
      </c>
      <c r="M411" s="294"/>
      <c r="N411" s="321"/>
      <c r="O411" s="322"/>
      <c r="P411" s="322"/>
      <c r="Q411" s="322"/>
      <c r="R411" s="322"/>
      <c r="S411" s="322"/>
      <c r="T411" s="322"/>
      <c r="U411" s="322"/>
      <c r="V411" s="322"/>
      <c r="W411" s="322"/>
      <c r="X411" s="322"/>
      <c r="Y411" s="322"/>
      <c r="Z411" s="322"/>
      <c r="AA411" s="322"/>
      <c r="AB411" s="322"/>
      <c r="AC411" s="322"/>
      <c r="AD411" s="322"/>
      <c r="AE411" s="322"/>
    </row>
    <row r="412" spans="1:31" ht="15.75" customHeight="1">
      <c r="A412" s="437"/>
      <c r="B412" s="297"/>
      <c r="C412" s="297"/>
      <c r="D412" s="297"/>
      <c r="E412" s="143" t="s">
        <v>128</v>
      </c>
      <c r="F412" s="264" t="s">
        <v>129</v>
      </c>
      <c r="G412" s="335">
        <v>11500</v>
      </c>
      <c r="H412" s="483">
        <f>G412/$G$411</f>
        <v>0.48907034107340308</v>
      </c>
      <c r="I412" s="335">
        <v>11500</v>
      </c>
      <c r="J412" s="302">
        <f>I412/$I$411</f>
        <v>0.323943661971831</v>
      </c>
      <c r="K412" s="97">
        <f>I412-G412</f>
        <v>0</v>
      </c>
      <c r="L412" s="115">
        <f t="shared" si="187"/>
        <v>1</v>
      </c>
      <c r="M412" s="264" t="s">
        <v>482</v>
      </c>
      <c r="N412" s="439"/>
      <c r="O412" s="527"/>
      <c r="P412" s="527"/>
      <c r="Q412" s="527"/>
      <c r="R412" s="527"/>
      <c r="S412" s="527"/>
      <c r="T412" s="527"/>
      <c r="U412" s="527"/>
      <c r="V412" s="527"/>
      <c r="W412" s="527"/>
      <c r="X412" s="527"/>
      <c r="Y412" s="527"/>
      <c r="Z412" s="527"/>
      <c r="AA412" s="527"/>
      <c r="AB412" s="527"/>
      <c r="AC412" s="527"/>
      <c r="AD412" s="527"/>
      <c r="AE412" s="527"/>
    </row>
    <row r="413" spans="1:31" ht="15.75" customHeight="1">
      <c r="A413" s="437"/>
      <c r="B413" s="297"/>
      <c r="C413" s="297"/>
      <c r="D413" s="297"/>
      <c r="E413" s="143"/>
      <c r="F413" s="264"/>
      <c r="G413" s="335"/>
      <c r="H413" s="483"/>
      <c r="I413" s="97"/>
      <c r="J413" s="302"/>
      <c r="K413" s="97"/>
      <c r="L413" s="115"/>
      <c r="M413" s="264" t="s">
        <v>483</v>
      </c>
      <c r="N413" s="439"/>
      <c r="O413" s="527"/>
      <c r="P413" s="527"/>
      <c r="Q413" s="527"/>
      <c r="R413" s="527"/>
      <c r="S413" s="527"/>
      <c r="T413" s="527"/>
      <c r="U413" s="527"/>
      <c r="V413" s="527"/>
      <c r="W413" s="527"/>
      <c r="X413" s="527"/>
      <c r="Y413" s="527"/>
      <c r="Z413" s="527"/>
      <c r="AA413" s="527"/>
      <c r="AB413" s="527"/>
      <c r="AC413" s="527"/>
      <c r="AD413" s="527"/>
      <c r="AE413" s="527"/>
    </row>
    <row r="414" spans="1:31" ht="15.75" customHeight="1">
      <c r="A414" s="437"/>
      <c r="B414" s="297"/>
      <c r="C414" s="297"/>
      <c r="D414" s="297"/>
      <c r="E414" s="143" t="s">
        <v>224</v>
      </c>
      <c r="F414" s="264" t="s">
        <v>225</v>
      </c>
      <c r="G414" s="335">
        <v>7500</v>
      </c>
      <c r="H414" s="483">
        <f t="shared" ref="H414:H418" si="188">G414/$G$411</f>
        <v>0.31895891809134985</v>
      </c>
      <c r="I414" s="335">
        <v>7500</v>
      </c>
      <c r="J414" s="302">
        <f t="shared" ref="J414:J418" si="189">I414/$I$411</f>
        <v>0.21126760563380281</v>
      </c>
      <c r="K414" s="97">
        <f t="shared" ref="K414:K418" si="190">I414-G414</f>
        <v>0</v>
      </c>
      <c r="L414" s="115">
        <f>G414/I414</f>
        <v>1</v>
      </c>
      <c r="M414" s="264" t="s">
        <v>484</v>
      </c>
      <c r="N414" s="439"/>
      <c r="O414" s="527"/>
      <c r="P414" s="527"/>
      <c r="Q414" s="527"/>
      <c r="R414" s="527"/>
      <c r="S414" s="527"/>
      <c r="T414" s="527"/>
      <c r="U414" s="527"/>
      <c r="V414" s="527"/>
      <c r="W414" s="527"/>
      <c r="X414" s="527"/>
      <c r="Y414" s="527"/>
      <c r="Z414" s="527"/>
      <c r="AA414" s="527"/>
      <c r="AB414" s="527"/>
      <c r="AC414" s="527"/>
      <c r="AD414" s="527"/>
      <c r="AE414" s="527"/>
    </row>
    <row r="415" spans="1:31" ht="15.75" customHeight="1">
      <c r="A415" s="437"/>
      <c r="B415" s="297"/>
      <c r="C415" s="297"/>
      <c r="D415" s="297"/>
      <c r="E415" s="143" t="s">
        <v>138</v>
      </c>
      <c r="F415" s="264" t="s">
        <v>139</v>
      </c>
      <c r="G415" s="97">
        <v>0</v>
      </c>
      <c r="H415" s="483">
        <f t="shared" si="188"/>
        <v>0</v>
      </c>
      <c r="I415" s="97">
        <v>0</v>
      </c>
      <c r="J415" s="302">
        <f t="shared" si="189"/>
        <v>0</v>
      </c>
      <c r="K415" s="97">
        <f t="shared" si="190"/>
        <v>0</v>
      </c>
      <c r="L415" s="115">
        <v>0</v>
      </c>
      <c r="M415" s="264" t="s">
        <v>485</v>
      </c>
      <c r="N415" s="439" t="s">
        <v>486</v>
      </c>
      <c r="O415" s="527"/>
      <c r="P415" s="527"/>
      <c r="Q415" s="527"/>
      <c r="R415" s="527"/>
      <c r="S415" s="527"/>
      <c r="T415" s="527"/>
      <c r="U415" s="527"/>
      <c r="V415" s="527"/>
      <c r="W415" s="527"/>
      <c r="X415" s="527"/>
      <c r="Y415" s="527"/>
      <c r="Z415" s="527"/>
      <c r="AA415" s="527"/>
      <c r="AB415" s="527"/>
      <c r="AC415" s="527"/>
      <c r="AD415" s="527"/>
      <c r="AE415" s="527"/>
    </row>
    <row r="416" spans="1:31" ht="15.75" customHeight="1">
      <c r="A416" s="437"/>
      <c r="B416" s="297"/>
      <c r="C416" s="297"/>
      <c r="D416" s="297"/>
      <c r="E416" s="143" t="s">
        <v>143</v>
      </c>
      <c r="F416" s="264" t="s">
        <v>144</v>
      </c>
      <c r="G416" s="335">
        <v>1000</v>
      </c>
      <c r="H416" s="483">
        <f t="shared" si="188"/>
        <v>4.2527855745513314E-2</v>
      </c>
      <c r="I416" s="335">
        <v>1000</v>
      </c>
      <c r="J416" s="302">
        <f t="shared" si="189"/>
        <v>2.8169014084507043E-2</v>
      </c>
      <c r="K416" s="97">
        <f t="shared" si="190"/>
        <v>0</v>
      </c>
      <c r="L416" s="115">
        <f t="shared" ref="L416:L417" si="191">G416/I416</f>
        <v>1</v>
      </c>
      <c r="M416" s="264" t="s">
        <v>487</v>
      </c>
      <c r="N416" s="439"/>
      <c r="O416" s="527"/>
      <c r="P416" s="527"/>
      <c r="Q416" s="527"/>
      <c r="R416" s="527"/>
      <c r="S416" s="527"/>
      <c r="T416" s="527"/>
      <c r="U416" s="527"/>
      <c r="V416" s="527"/>
      <c r="W416" s="527"/>
      <c r="X416" s="527"/>
      <c r="Y416" s="527"/>
      <c r="Z416" s="527"/>
      <c r="AA416" s="527"/>
      <c r="AB416" s="527"/>
      <c r="AC416" s="527"/>
      <c r="AD416" s="527"/>
      <c r="AE416" s="527"/>
    </row>
    <row r="417" spans="1:31" ht="15.75" customHeight="1">
      <c r="A417" s="437"/>
      <c r="B417" s="297"/>
      <c r="C417" s="297"/>
      <c r="D417" s="297"/>
      <c r="E417" s="143" t="s">
        <v>301</v>
      </c>
      <c r="F417" s="264" t="s">
        <v>302</v>
      </c>
      <c r="G417" s="335">
        <v>3050</v>
      </c>
      <c r="H417" s="483">
        <f t="shared" si="188"/>
        <v>0.1297099600238156</v>
      </c>
      <c r="I417" s="335">
        <v>15000</v>
      </c>
      <c r="J417" s="302">
        <f t="shared" si="189"/>
        <v>0.42253521126760563</v>
      </c>
      <c r="K417" s="97">
        <f t="shared" si="190"/>
        <v>11950</v>
      </c>
      <c r="L417" s="115">
        <f t="shared" si="191"/>
        <v>0.20333333333333334</v>
      </c>
      <c r="M417" s="264" t="s">
        <v>488</v>
      </c>
      <c r="N417" s="439"/>
      <c r="O417" s="527"/>
      <c r="P417" s="527"/>
      <c r="Q417" s="527"/>
      <c r="R417" s="527"/>
      <c r="S417" s="527"/>
      <c r="T417" s="527"/>
      <c r="U417" s="527"/>
      <c r="V417" s="527"/>
      <c r="W417" s="527"/>
      <c r="X417" s="527"/>
      <c r="Y417" s="527"/>
      <c r="Z417" s="527"/>
      <c r="AA417" s="527"/>
      <c r="AB417" s="527"/>
      <c r="AC417" s="527"/>
      <c r="AD417" s="527"/>
      <c r="AE417" s="527"/>
    </row>
    <row r="418" spans="1:31" ht="15.75" customHeight="1">
      <c r="A418" s="437"/>
      <c r="B418" s="297"/>
      <c r="C418" s="297"/>
      <c r="D418" s="297"/>
      <c r="E418" s="143" t="s">
        <v>198</v>
      </c>
      <c r="F418" s="264" t="s">
        <v>199</v>
      </c>
      <c r="G418" s="97">
        <v>0</v>
      </c>
      <c r="H418" s="483">
        <f t="shared" si="188"/>
        <v>0</v>
      </c>
      <c r="I418" s="97">
        <v>0</v>
      </c>
      <c r="J418" s="302">
        <f t="shared" si="189"/>
        <v>0</v>
      </c>
      <c r="K418" s="97">
        <f t="shared" si="190"/>
        <v>0</v>
      </c>
      <c r="L418" s="115">
        <v>0</v>
      </c>
      <c r="M418" s="264" t="s">
        <v>489</v>
      </c>
      <c r="N418" s="439" t="s">
        <v>486</v>
      </c>
      <c r="O418" s="527"/>
      <c r="P418" s="527"/>
      <c r="Q418" s="527"/>
      <c r="R418" s="527"/>
      <c r="S418" s="527"/>
      <c r="T418" s="527"/>
      <c r="U418" s="527"/>
      <c r="V418" s="527"/>
      <c r="W418" s="527"/>
      <c r="X418" s="527"/>
      <c r="Y418" s="527"/>
      <c r="Z418" s="527"/>
      <c r="AA418" s="527"/>
      <c r="AB418" s="527"/>
      <c r="AC418" s="527"/>
      <c r="AD418" s="527"/>
      <c r="AE418" s="527"/>
    </row>
    <row r="419" spans="1:31" ht="15.75" customHeight="1">
      <c r="A419" s="437"/>
      <c r="B419" s="297"/>
      <c r="C419" s="297"/>
      <c r="D419" s="297"/>
      <c r="E419" s="143"/>
      <c r="F419" s="264"/>
      <c r="G419" s="335"/>
      <c r="H419" s="483"/>
      <c r="I419" s="335"/>
      <c r="J419" s="302"/>
      <c r="K419" s="97"/>
      <c r="L419" s="115"/>
      <c r="M419" s="264" t="s">
        <v>490</v>
      </c>
      <c r="N419" s="439"/>
      <c r="O419" s="527"/>
      <c r="P419" s="527"/>
      <c r="Q419" s="527"/>
      <c r="R419" s="527"/>
      <c r="S419" s="527"/>
      <c r="T419" s="527"/>
      <c r="U419" s="527"/>
      <c r="V419" s="527"/>
      <c r="W419" s="527"/>
      <c r="X419" s="527"/>
      <c r="Y419" s="527"/>
      <c r="Z419" s="527"/>
      <c r="AA419" s="527"/>
      <c r="AB419" s="527"/>
      <c r="AC419" s="527"/>
      <c r="AD419" s="527"/>
      <c r="AE419" s="527"/>
    </row>
    <row r="420" spans="1:31" ht="15.75" customHeight="1">
      <c r="A420" s="437"/>
      <c r="B420" s="297"/>
      <c r="C420" s="297"/>
      <c r="D420" s="297"/>
      <c r="E420" s="143"/>
      <c r="F420" s="264"/>
      <c r="G420" s="335"/>
      <c r="H420" s="483"/>
      <c r="I420" s="335"/>
      <c r="J420" s="302"/>
      <c r="K420" s="97"/>
      <c r="L420" s="115"/>
      <c r="M420" s="264" t="s">
        <v>491</v>
      </c>
      <c r="N420" s="439"/>
      <c r="O420" s="527"/>
      <c r="P420" s="527"/>
      <c r="Q420" s="527"/>
      <c r="R420" s="527"/>
      <c r="S420" s="527"/>
      <c r="T420" s="527"/>
      <c r="U420" s="527"/>
      <c r="V420" s="527"/>
      <c r="W420" s="527"/>
      <c r="X420" s="527"/>
      <c r="Y420" s="527"/>
      <c r="Z420" s="527"/>
      <c r="AA420" s="527"/>
      <c r="AB420" s="527"/>
      <c r="AC420" s="527"/>
      <c r="AD420" s="527"/>
      <c r="AE420" s="527"/>
    </row>
    <row r="421" spans="1:31" ht="15.75" customHeight="1">
      <c r="A421" s="437"/>
      <c r="B421" s="297"/>
      <c r="C421" s="297"/>
      <c r="D421" s="297"/>
      <c r="E421" s="143" t="s">
        <v>201</v>
      </c>
      <c r="F421" s="264" t="s">
        <v>202</v>
      </c>
      <c r="G421" s="97">
        <v>0</v>
      </c>
      <c r="H421" s="483">
        <f t="shared" ref="H421:H422" si="192">G421/$G$411</f>
        <v>0</v>
      </c>
      <c r="I421" s="97">
        <v>0</v>
      </c>
      <c r="J421" s="302">
        <f t="shared" ref="J421:J422" si="193">I421/$I$411</f>
        <v>0</v>
      </c>
      <c r="K421" s="97">
        <f t="shared" ref="K421:K423" si="194">I421-G421</f>
        <v>0</v>
      </c>
      <c r="L421" s="115">
        <v>0</v>
      </c>
      <c r="M421" s="264" t="s">
        <v>492</v>
      </c>
      <c r="N421" s="439" t="s">
        <v>486</v>
      </c>
      <c r="O421" s="527"/>
      <c r="P421" s="527"/>
      <c r="Q421" s="527"/>
      <c r="R421" s="527"/>
      <c r="S421" s="527"/>
      <c r="T421" s="527"/>
      <c r="U421" s="527"/>
      <c r="V421" s="527"/>
      <c r="W421" s="527"/>
      <c r="X421" s="527"/>
      <c r="Y421" s="527"/>
      <c r="Z421" s="527"/>
      <c r="AA421" s="527"/>
      <c r="AB421" s="527"/>
      <c r="AC421" s="527"/>
      <c r="AD421" s="527"/>
      <c r="AE421" s="527"/>
    </row>
    <row r="422" spans="1:31" ht="15.75" customHeight="1">
      <c r="A422" s="437"/>
      <c r="B422" s="297"/>
      <c r="C422" s="297"/>
      <c r="D422" s="297"/>
      <c r="E422" s="143" t="s">
        <v>149</v>
      </c>
      <c r="F422" s="264" t="s">
        <v>150</v>
      </c>
      <c r="G422" s="335">
        <v>464</v>
      </c>
      <c r="H422" s="483">
        <f t="shared" si="192"/>
        <v>1.9732925065918176E-2</v>
      </c>
      <c r="I422" s="335">
        <v>500</v>
      </c>
      <c r="J422" s="302">
        <f t="shared" si="193"/>
        <v>1.4084507042253521E-2</v>
      </c>
      <c r="K422" s="97">
        <f t="shared" si="194"/>
        <v>36</v>
      </c>
      <c r="L422" s="115">
        <f t="shared" ref="L422:L423" si="195">G422/I422</f>
        <v>0.92800000000000005</v>
      </c>
      <c r="M422" s="264" t="s">
        <v>463</v>
      </c>
      <c r="N422" s="439"/>
      <c r="O422" s="527"/>
      <c r="P422" s="527"/>
      <c r="Q422" s="527"/>
      <c r="R422" s="527"/>
      <c r="S422" s="527"/>
      <c r="T422" s="527"/>
      <c r="U422" s="527"/>
      <c r="V422" s="527"/>
      <c r="W422" s="527"/>
      <c r="X422" s="527"/>
      <c r="Y422" s="527"/>
      <c r="Z422" s="527"/>
      <c r="AA422" s="527"/>
      <c r="AB422" s="527"/>
      <c r="AC422" s="527"/>
      <c r="AD422" s="527"/>
      <c r="AE422" s="527"/>
    </row>
    <row r="423" spans="1:31" ht="15.75" customHeight="1">
      <c r="A423" s="147"/>
      <c r="B423" s="316"/>
      <c r="C423" s="316" t="s">
        <v>50</v>
      </c>
      <c r="D423" s="316" t="s">
        <v>50</v>
      </c>
      <c r="E423" s="385"/>
      <c r="F423" s="465" t="s">
        <v>51</v>
      </c>
      <c r="G423" s="332">
        <v>419</v>
      </c>
      <c r="H423" s="489">
        <f>G423/$G$366</f>
        <v>2.6846067595707192E-3</v>
      </c>
      <c r="I423" s="332">
        <v>12163</v>
      </c>
      <c r="J423" s="293">
        <f>I423/I365</f>
        <v>4.99993833834163E-2</v>
      </c>
      <c r="K423" s="333">
        <f t="shared" si="194"/>
        <v>11744</v>
      </c>
      <c r="L423" s="293">
        <f t="shared" si="195"/>
        <v>3.4448737975828335E-2</v>
      </c>
      <c r="M423" s="294" t="s">
        <v>164</v>
      </c>
      <c r="N423" s="321"/>
      <c r="O423" s="322"/>
      <c r="P423" s="322"/>
      <c r="Q423" s="322"/>
      <c r="R423" s="322"/>
      <c r="S423" s="322"/>
      <c r="T423" s="322"/>
      <c r="U423" s="322"/>
      <c r="V423" s="322"/>
      <c r="W423" s="322"/>
      <c r="X423" s="322"/>
      <c r="Y423" s="322"/>
      <c r="Z423" s="322"/>
      <c r="AA423" s="322"/>
      <c r="AB423" s="322"/>
      <c r="AC423" s="322"/>
      <c r="AD423" s="322"/>
      <c r="AE423" s="322"/>
    </row>
    <row r="424" spans="1:31" ht="15.75" customHeight="1">
      <c r="A424" s="147"/>
      <c r="B424" s="146"/>
      <c r="C424" s="146"/>
      <c r="D424" s="146"/>
      <c r="E424" s="143"/>
      <c r="F424" s="264"/>
      <c r="G424" s="264"/>
      <c r="H424" s="115"/>
      <c r="I424" s="335"/>
      <c r="J424" s="115"/>
      <c r="K424" s="97"/>
      <c r="L424" s="115"/>
      <c r="M424" s="370"/>
      <c r="N424" s="170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 spans="1:31" ht="15.75" customHeight="1">
      <c r="A425" s="147"/>
      <c r="B425" s="146"/>
      <c r="C425" s="146"/>
      <c r="D425" s="146"/>
      <c r="E425" s="143"/>
      <c r="F425" s="264"/>
      <c r="G425" s="264"/>
      <c r="H425" s="115"/>
      <c r="I425" s="335"/>
      <c r="J425" s="276"/>
      <c r="K425" s="110"/>
      <c r="L425" s="276"/>
      <c r="M425" s="370"/>
      <c r="N425" s="170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 spans="1:31" ht="15.75" customHeight="1">
      <c r="A426" s="147"/>
      <c r="B426" s="146"/>
      <c r="C426" s="146"/>
      <c r="D426" s="146"/>
      <c r="E426" s="143"/>
      <c r="F426" s="264"/>
      <c r="G426" s="264"/>
      <c r="H426" s="115"/>
      <c r="I426" s="335"/>
      <c r="J426" s="276"/>
      <c r="K426" s="110"/>
      <c r="L426" s="276"/>
      <c r="M426" s="264"/>
      <c r="N426" s="170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 spans="1:31" ht="15.75" customHeight="1">
      <c r="A427" s="265" t="s">
        <v>52</v>
      </c>
      <c r="B427" s="266" t="s">
        <v>46</v>
      </c>
      <c r="C427" s="266" t="s">
        <v>46</v>
      </c>
      <c r="D427" s="266" t="s">
        <v>46</v>
      </c>
      <c r="E427" s="267"/>
      <c r="F427" s="268" t="s">
        <v>29</v>
      </c>
      <c r="G427" s="269">
        <f>G428</f>
        <v>30800</v>
      </c>
      <c r="H427" s="270">
        <f>G427/G7</f>
        <v>2.5799858435841698E-2</v>
      </c>
      <c r="I427" s="556">
        <f>I428</f>
        <v>94357.894736842107</v>
      </c>
      <c r="J427" s="270">
        <f>I427/$I$7</f>
        <v>5.0258449197168376E-2</v>
      </c>
      <c r="K427" s="556">
        <f>SUM(K428)</f>
        <v>63557.894736842107</v>
      </c>
      <c r="L427" s="270">
        <f t="shared" ref="L427:L431" si="196">G427/I427</f>
        <v>0.32641677822400711</v>
      </c>
      <c r="M427" s="268"/>
      <c r="N427" s="273"/>
      <c r="O427" s="274"/>
      <c r="P427" s="274"/>
      <c r="Q427" s="274"/>
      <c r="R427" s="274"/>
      <c r="S427" s="274"/>
      <c r="T427" s="274"/>
      <c r="U427" s="274"/>
      <c r="V427" s="274"/>
      <c r="W427" s="274"/>
      <c r="X427" s="274"/>
      <c r="Y427" s="274"/>
      <c r="Z427" s="274"/>
      <c r="AA427" s="274"/>
      <c r="AB427" s="274"/>
      <c r="AC427" s="274"/>
      <c r="AD427" s="274"/>
      <c r="AE427" s="274"/>
    </row>
    <row r="428" spans="1:31" ht="15.75" customHeight="1">
      <c r="A428" s="277"/>
      <c r="B428" s="278" t="s">
        <v>45</v>
      </c>
      <c r="C428" s="278" t="s">
        <v>46</v>
      </c>
      <c r="D428" s="278" t="s">
        <v>46</v>
      </c>
      <c r="E428" s="279"/>
      <c r="F428" s="280" t="s">
        <v>30</v>
      </c>
      <c r="G428" s="281">
        <f>G429+G444</f>
        <v>30800</v>
      </c>
      <c r="H428" s="282">
        <f t="shared" ref="H428:H429" si="197">G428/G427</f>
        <v>1</v>
      </c>
      <c r="I428" s="331">
        <f>I429+I444</f>
        <v>94357.894736842107</v>
      </c>
      <c r="J428" s="282">
        <f>I428/$I$427</f>
        <v>1</v>
      </c>
      <c r="K428" s="331">
        <f>SUM(K429,K444)</f>
        <v>63557.894736842107</v>
      </c>
      <c r="L428" s="282">
        <f t="shared" si="196"/>
        <v>0.32641677822400711</v>
      </c>
      <c r="M428" s="280"/>
      <c r="N428" s="557" t="s">
        <v>493</v>
      </c>
      <c r="O428" s="285"/>
      <c r="P428" s="285"/>
      <c r="Q428" s="285"/>
      <c r="R428" s="285"/>
      <c r="S428" s="285"/>
      <c r="T428" s="285"/>
      <c r="U428" s="285"/>
      <c r="V428" s="285"/>
      <c r="W428" s="285"/>
      <c r="X428" s="285"/>
      <c r="Y428" s="285"/>
      <c r="Z428" s="285"/>
      <c r="AA428" s="285"/>
      <c r="AB428" s="285"/>
      <c r="AC428" s="285"/>
      <c r="AD428" s="285"/>
      <c r="AE428" s="285"/>
    </row>
    <row r="429" spans="1:31" ht="15.75" customHeight="1">
      <c r="A429" s="147"/>
      <c r="B429" s="316"/>
      <c r="C429" s="316" t="s">
        <v>46</v>
      </c>
      <c r="D429" s="316" t="s">
        <v>45</v>
      </c>
      <c r="E429" s="385"/>
      <c r="F429" s="294" t="s">
        <v>101</v>
      </c>
      <c r="G429" s="333">
        <f>SUM(G430:G443)</f>
        <v>30800</v>
      </c>
      <c r="H429" s="293">
        <f t="shared" si="197"/>
        <v>1</v>
      </c>
      <c r="I429" s="333">
        <f>SUM(I430:I443)</f>
        <v>89640</v>
      </c>
      <c r="J429" s="293">
        <f>I429/$I$428</f>
        <v>0.95</v>
      </c>
      <c r="K429" s="313">
        <f>SUM(K430:K443)</f>
        <v>58840</v>
      </c>
      <c r="L429" s="293">
        <f t="shared" si="196"/>
        <v>0.3435966086568496</v>
      </c>
      <c r="M429" s="294"/>
      <c r="N429" s="321"/>
      <c r="O429" s="322"/>
      <c r="P429" s="322"/>
      <c r="Q429" s="322"/>
      <c r="R429" s="322"/>
      <c r="S429" s="322"/>
      <c r="T429" s="322"/>
      <c r="U429" s="322"/>
      <c r="V429" s="322"/>
      <c r="W429" s="322"/>
      <c r="X429" s="322"/>
      <c r="Y429" s="322"/>
      <c r="Z429" s="322"/>
      <c r="AA429" s="322"/>
      <c r="AB429" s="322"/>
      <c r="AC429" s="322"/>
      <c r="AD429" s="322"/>
      <c r="AE429" s="322"/>
    </row>
    <row r="430" spans="1:31" ht="15.75" customHeight="1">
      <c r="A430" s="147"/>
      <c r="B430" s="146"/>
      <c r="C430" s="146"/>
      <c r="D430" s="146"/>
      <c r="E430" s="143" t="s">
        <v>494</v>
      </c>
      <c r="F430" s="3" t="s">
        <v>495</v>
      </c>
      <c r="G430" s="384">
        <v>10800</v>
      </c>
      <c r="H430" s="369">
        <f t="shared" ref="H430:H431" si="198">G430/$G$429</f>
        <v>0.35064935064935066</v>
      </c>
      <c r="I430" s="335">
        <v>38700</v>
      </c>
      <c r="J430" s="115">
        <f t="shared" ref="J430:J431" si="199">I430/$I$429</f>
        <v>0.43172690763052207</v>
      </c>
      <c r="K430" s="97">
        <f t="shared" ref="K430:K431" si="200">I430-G430</f>
        <v>27900</v>
      </c>
      <c r="L430" s="115">
        <f t="shared" si="196"/>
        <v>0.27906976744186046</v>
      </c>
      <c r="M430" s="310" t="s">
        <v>496</v>
      </c>
      <c r="N430" s="170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 spans="1:31" ht="15.75" customHeight="1">
      <c r="A431" s="147"/>
      <c r="B431" s="146"/>
      <c r="C431" s="146"/>
      <c r="D431" s="146"/>
      <c r="E431" s="143" t="s">
        <v>497</v>
      </c>
      <c r="F431" s="3" t="s">
        <v>498</v>
      </c>
      <c r="G431" s="384">
        <v>9000</v>
      </c>
      <c r="H431" s="369">
        <f t="shared" si="198"/>
        <v>0.29220779220779219</v>
      </c>
      <c r="I431" s="335">
        <v>24500</v>
      </c>
      <c r="J431" s="115">
        <f t="shared" si="199"/>
        <v>0.27331548415885765</v>
      </c>
      <c r="K431" s="97">
        <f t="shared" si="200"/>
        <v>15500</v>
      </c>
      <c r="L431" s="115">
        <f t="shared" si="196"/>
        <v>0.36734693877551022</v>
      </c>
      <c r="M431" s="310" t="s">
        <v>499</v>
      </c>
      <c r="N431" s="170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 spans="1:31" ht="15.75" customHeight="1">
      <c r="A432" s="147"/>
      <c r="B432" s="146"/>
      <c r="C432" s="146"/>
      <c r="D432" s="146"/>
      <c r="E432" s="143"/>
      <c r="F432" s="3"/>
      <c r="G432" s="384"/>
      <c r="H432" s="369"/>
      <c r="I432" s="414"/>
      <c r="J432" s="115"/>
      <c r="K432" s="97"/>
      <c r="L432" s="115"/>
      <c r="M432" s="310" t="s">
        <v>500</v>
      </c>
      <c r="N432" s="170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 spans="1:31" ht="15.75" customHeight="1">
      <c r="A433" s="147"/>
      <c r="B433" s="146"/>
      <c r="C433" s="146"/>
      <c r="D433" s="146"/>
      <c r="E433" s="143"/>
      <c r="F433" s="3"/>
      <c r="G433" s="384"/>
      <c r="H433" s="369"/>
      <c r="I433" s="414"/>
      <c r="J433" s="115"/>
      <c r="K433" s="97"/>
      <c r="L433" s="115"/>
      <c r="M433" s="310" t="s">
        <v>501</v>
      </c>
      <c r="N433" s="170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 spans="1:31" ht="15.75" customHeight="1">
      <c r="A434" s="147"/>
      <c r="B434" s="146"/>
      <c r="C434" s="146"/>
      <c r="D434" s="146"/>
      <c r="E434" s="143" t="s">
        <v>502</v>
      </c>
      <c r="F434" s="3" t="s">
        <v>503</v>
      </c>
      <c r="G434" s="384">
        <v>0</v>
      </c>
      <c r="H434" s="369">
        <f t="shared" ref="H434:H438" si="201">G434/$G$429</f>
        <v>0</v>
      </c>
      <c r="I434" s="335">
        <v>6000</v>
      </c>
      <c r="J434" s="115">
        <f t="shared" ref="J434:J443" si="202">I434/$I$429</f>
        <v>6.6934404283801874E-2</v>
      </c>
      <c r="K434" s="97">
        <f t="shared" ref="K434:K444" si="203">I434-G434</f>
        <v>6000</v>
      </c>
      <c r="L434" s="115">
        <f t="shared" ref="L434:L443" si="204">G434/I434</f>
        <v>0</v>
      </c>
      <c r="M434" s="310" t="s">
        <v>504</v>
      </c>
      <c r="N434" s="170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 spans="1:31" ht="15.75" customHeight="1">
      <c r="A435" s="147"/>
      <c r="B435" s="146"/>
      <c r="C435" s="146"/>
      <c r="D435" s="146"/>
      <c r="E435" s="143" t="s">
        <v>505</v>
      </c>
      <c r="F435" s="264" t="s">
        <v>506</v>
      </c>
      <c r="G435" s="558">
        <v>5000</v>
      </c>
      <c r="H435" s="369">
        <f t="shared" si="201"/>
        <v>0.16233766233766234</v>
      </c>
      <c r="I435" s="335">
        <v>5000</v>
      </c>
      <c r="J435" s="115">
        <f t="shared" si="202"/>
        <v>5.5778670236501564E-2</v>
      </c>
      <c r="K435" s="97">
        <f t="shared" si="203"/>
        <v>0</v>
      </c>
      <c r="L435" s="115">
        <f t="shared" si="204"/>
        <v>1</v>
      </c>
      <c r="M435" s="310" t="s">
        <v>507</v>
      </c>
      <c r="N435" s="170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 spans="1:31" ht="15.75" customHeight="1">
      <c r="A436" s="147"/>
      <c r="B436" s="146"/>
      <c r="C436" s="146"/>
      <c r="D436" s="146"/>
      <c r="E436" s="143" t="s">
        <v>508</v>
      </c>
      <c r="F436" s="467" t="s">
        <v>509</v>
      </c>
      <c r="G436" s="558">
        <v>0</v>
      </c>
      <c r="H436" s="369">
        <f t="shared" si="201"/>
        <v>0</v>
      </c>
      <c r="I436" s="335">
        <v>2500</v>
      </c>
      <c r="J436" s="115">
        <f t="shared" si="202"/>
        <v>2.7889335118250782E-2</v>
      </c>
      <c r="K436" s="97">
        <f t="shared" si="203"/>
        <v>2500</v>
      </c>
      <c r="L436" s="115">
        <f t="shared" si="204"/>
        <v>0</v>
      </c>
      <c r="M436" s="310" t="s">
        <v>510</v>
      </c>
      <c r="N436" s="170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 spans="1:31" ht="15.75" customHeight="1">
      <c r="A437" s="147"/>
      <c r="B437" s="146"/>
      <c r="C437" s="146"/>
      <c r="D437" s="146"/>
      <c r="E437" s="143" t="s">
        <v>134</v>
      </c>
      <c r="F437" s="3" t="s">
        <v>135</v>
      </c>
      <c r="G437" s="384">
        <v>6000</v>
      </c>
      <c r="H437" s="369">
        <f t="shared" si="201"/>
        <v>0.19480519480519481</v>
      </c>
      <c r="I437" s="335">
        <v>6000</v>
      </c>
      <c r="J437" s="115">
        <f t="shared" si="202"/>
        <v>6.6934404283801874E-2</v>
      </c>
      <c r="K437" s="97">
        <f t="shared" si="203"/>
        <v>0</v>
      </c>
      <c r="L437" s="115">
        <f t="shared" si="204"/>
        <v>1</v>
      </c>
      <c r="M437" s="310" t="s">
        <v>511</v>
      </c>
      <c r="N437" s="170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 spans="1:31" ht="15.75" customHeight="1">
      <c r="A438" s="147"/>
      <c r="B438" s="146"/>
      <c r="C438" s="146"/>
      <c r="D438" s="146"/>
      <c r="E438" s="143" t="s">
        <v>138</v>
      </c>
      <c r="F438" s="3" t="s">
        <v>139</v>
      </c>
      <c r="G438" s="384">
        <v>0</v>
      </c>
      <c r="H438" s="369">
        <f t="shared" si="201"/>
        <v>0</v>
      </c>
      <c r="I438" s="335">
        <v>1600</v>
      </c>
      <c r="J438" s="115">
        <f t="shared" si="202"/>
        <v>1.7849174475680501E-2</v>
      </c>
      <c r="K438" s="97">
        <f t="shared" si="203"/>
        <v>1600</v>
      </c>
      <c r="L438" s="115">
        <f t="shared" si="204"/>
        <v>0</v>
      </c>
      <c r="M438" s="310" t="s">
        <v>512</v>
      </c>
      <c r="N438" s="170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 spans="1:31" ht="15.75" customHeight="1">
      <c r="A439" s="147"/>
      <c r="B439" s="146"/>
      <c r="C439" s="146"/>
      <c r="D439" s="146"/>
      <c r="E439" s="143"/>
      <c r="F439" s="3"/>
      <c r="G439" s="384"/>
      <c r="H439" s="369"/>
      <c r="I439" s="335">
        <v>1280</v>
      </c>
      <c r="J439" s="115">
        <f t="shared" si="202"/>
        <v>1.4279339580544399E-2</v>
      </c>
      <c r="K439" s="97">
        <f t="shared" si="203"/>
        <v>1280</v>
      </c>
      <c r="L439" s="115">
        <f t="shared" si="204"/>
        <v>0</v>
      </c>
      <c r="M439" s="310" t="s">
        <v>513</v>
      </c>
      <c r="N439" s="170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 spans="1:31" ht="15.75" customHeight="1">
      <c r="A440" s="147"/>
      <c r="B440" s="146"/>
      <c r="C440" s="146"/>
      <c r="D440" s="146"/>
      <c r="E440" s="143"/>
      <c r="F440" s="3"/>
      <c r="G440" s="384"/>
      <c r="H440" s="369"/>
      <c r="I440" s="335">
        <v>960</v>
      </c>
      <c r="J440" s="115">
        <f t="shared" si="202"/>
        <v>1.0709504685408299E-2</v>
      </c>
      <c r="K440" s="97">
        <f t="shared" si="203"/>
        <v>960</v>
      </c>
      <c r="L440" s="115">
        <f t="shared" si="204"/>
        <v>0</v>
      </c>
      <c r="M440" s="310" t="s">
        <v>514</v>
      </c>
      <c r="N440" s="170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 spans="1:31" ht="15.75" customHeight="1">
      <c r="A441" s="147"/>
      <c r="B441" s="146"/>
      <c r="C441" s="146"/>
      <c r="D441" s="146"/>
      <c r="E441" s="143"/>
      <c r="F441" s="3"/>
      <c r="G441" s="384"/>
      <c r="H441" s="369"/>
      <c r="I441" s="335">
        <v>800</v>
      </c>
      <c r="J441" s="115">
        <f t="shared" si="202"/>
        <v>8.9245872378402504E-3</v>
      </c>
      <c r="K441" s="97">
        <f t="shared" si="203"/>
        <v>800</v>
      </c>
      <c r="L441" s="115">
        <f t="shared" si="204"/>
        <v>0</v>
      </c>
      <c r="M441" s="310" t="s">
        <v>515</v>
      </c>
      <c r="N441" s="170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 spans="1:31" ht="15.75" customHeight="1">
      <c r="A442" s="147"/>
      <c r="B442" s="146"/>
      <c r="C442" s="146"/>
      <c r="D442" s="146"/>
      <c r="E442" s="143" t="s">
        <v>143</v>
      </c>
      <c r="F442" s="3" t="s">
        <v>144</v>
      </c>
      <c r="G442" s="384">
        <v>0</v>
      </c>
      <c r="H442" s="369">
        <f t="shared" ref="H442:H443" si="205">G442/$G$429</f>
        <v>0</v>
      </c>
      <c r="I442" s="335">
        <v>700</v>
      </c>
      <c r="J442" s="115">
        <f t="shared" si="202"/>
        <v>7.8090138331102189E-3</v>
      </c>
      <c r="K442" s="97">
        <f t="shared" si="203"/>
        <v>700</v>
      </c>
      <c r="L442" s="115">
        <f t="shared" si="204"/>
        <v>0</v>
      </c>
      <c r="M442" s="310" t="s">
        <v>516</v>
      </c>
      <c r="N442" s="170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 spans="1:31" ht="15.75" customHeight="1">
      <c r="A443" s="147"/>
      <c r="B443" s="146"/>
      <c r="C443" s="146"/>
      <c r="D443" s="146"/>
      <c r="E443" s="143" t="s">
        <v>198</v>
      </c>
      <c r="F443" s="3" t="s">
        <v>199</v>
      </c>
      <c r="G443" s="384">
        <v>0</v>
      </c>
      <c r="H443" s="369">
        <f t="shared" si="205"/>
        <v>0</v>
      </c>
      <c r="I443" s="335">
        <v>1600</v>
      </c>
      <c r="J443" s="115">
        <f t="shared" si="202"/>
        <v>1.7849174475680501E-2</v>
      </c>
      <c r="K443" s="97">
        <f t="shared" si="203"/>
        <v>1600</v>
      </c>
      <c r="L443" s="115">
        <f t="shared" si="204"/>
        <v>0</v>
      </c>
      <c r="M443" s="310" t="s">
        <v>517</v>
      </c>
      <c r="N443" s="170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 spans="1:31" ht="15.75" customHeight="1">
      <c r="A444" s="147"/>
      <c r="B444" s="316"/>
      <c r="C444" s="316" t="s">
        <v>50</v>
      </c>
      <c r="D444" s="316" t="s">
        <v>50</v>
      </c>
      <c r="E444" s="385"/>
      <c r="F444" s="294" t="s">
        <v>51</v>
      </c>
      <c r="G444" s="333">
        <v>0</v>
      </c>
      <c r="H444" s="293">
        <v>0</v>
      </c>
      <c r="I444" s="332">
        <f>(I429)/0.95*0.05</f>
        <v>4717.8947368421059</v>
      </c>
      <c r="J444" s="293">
        <f>I444/$I$428</f>
        <v>0.05</v>
      </c>
      <c r="K444" s="318">
        <f t="shared" si="203"/>
        <v>4717.8947368421059</v>
      </c>
      <c r="L444" s="293">
        <v>0</v>
      </c>
      <c r="M444" s="549" t="s">
        <v>164</v>
      </c>
      <c r="N444" s="321"/>
      <c r="O444" s="322"/>
      <c r="P444" s="322"/>
      <c r="Q444" s="322"/>
      <c r="R444" s="322"/>
      <c r="S444" s="322"/>
      <c r="T444" s="322"/>
      <c r="U444" s="322"/>
      <c r="V444" s="322"/>
      <c r="W444" s="322"/>
      <c r="X444" s="322"/>
      <c r="Y444" s="322"/>
      <c r="Z444" s="322"/>
      <c r="AA444" s="322"/>
      <c r="AB444" s="322"/>
      <c r="AC444" s="322"/>
      <c r="AD444" s="322"/>
      <c r="AE444" s="322"/>
    </row>
    <row r="445" spans="1:31" ht="15.75" customHeight="1">
      <c r="A445" s="147"/>
      <c r="B445" s="146"/>
      <c r="C445" s="146"/>
      <c r="D445" s="146"/>
      <c r="E445" s="143"/>
      <c r="F445" s="264"/>
      <c r="G445" s="264"/>
      <c r="H445" s="276"/>
      <c r="I445" s="335"/>
      <c r="J445" s="115"/>
      <c r="K445" s="97"/>
      <c r="L445" s="115"/>
      <c r="M445" s="264"/>
      <c r="N445" s="170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 spans="1:31" ht="15.75" customHeight="1">
      <c r="A446" s="147"/>
      <c r="B446" s="146"/>
      <c r="C446" s="146"/>
      <c r="D446" s="146"/>
      <c r="E446" s="143"/>
      <c r="F446" s="264"/>
      <c r="G446" s="264"/>
      <c r="H446" s="276"/>
      <c r="I446" s="335"/>
      <c r="J446" s="115"/>
      <c r="K446" s="97"/>
      <c r="L446" s="115"/>
      <c r="M446" s="264"/>
      <c r="N446" s="170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 spans="1:31" ht="15.75" customHeight="1">
      <c r="A447" s="147"/>
      <c r="B447" s="146"/>
      <c r="C447" s="146"/>
      <c r="D447" s="146"/>
      <c r="E447" s="143"/>
      <c r="F447" s="264"/>
      <c r="G447" s="264"/>
      <c r="H447" s="276"/>
      <c r="I447" s="335"/>
      <c r="J447" s="115"/>
      <c r="K447" s="97"/>
      <c r="L447" s="115"/>
      <c r="M447" s="264"/>
      <c r="N447" s="170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 spans="1:31" ht="15.75" customHeight="1">
      <c r="A448" s="559"/>
      <c r="B448" s="247"/>
      <c r="C448" s="247"/>
      <c r="D448" s="247"/>
      <c r="E448" s="560"/>
      <c r="F448" s="561"/>
      <c r="G448" s="561"/>
      <c r="H448" s="562"/>
      <c r="I448" s="563"/>
      <c r="J448" s="564"/>
      <c r="K448" s="565"/>
      <c r="L448" s="564"/>
      <c r="M448" s="561"/>
      <c r="N448" s="170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</sheetData>
  <mergeCells count="10">
    <mergeCell ref="N5:N6"/>
    <mergeCell ref="O5:O6"/>
    <mergeCell ref="M151:N151"/>
    <mergeCell ref="A1:N1"/>
    <mergeCell ref="A2:N2"/>
    <mergeCell ref="A3:N3"/>
    <mergeCell ref="A4:J4"/>
    <mergeCell ref="A5:D5"/>
    <mergeCell ref="E5:F5"/>
    <mergeCell ref="M5:M6"/>
  </mergeCells>
  <phoneticPr fontId="30" type="noConversion"/>
  <printOptions horizontalCentered="1"/>
  <pageMargins left="0.25" right="0.25" top="0.75" bottom="0.75" header="0" footer="0"/>
  <pageSetup paperSize="9" pageOrder="overThenDown" orientation="portrait" cellComments="atEnd"/>
  <headerFooter>
    <oddFooter>&amp;L&amp;A&amp;R&amp;P</oddFooter>
  </headerFooter>
  <rowBreaks count="8" manualBreakCount="8">
    <brk id="32" man="1"/>
    <brk id="177" man="1"/>
    <brk id="67" man="1"/>
    <brk id="51" man="1"/>
    <brk id="423" man="1"/>
    <brk id="219" man="1"/>
    <brk id="364" man="1"/>
    <brk id="79" man="1"/>
  </rowBreaks>
  <colBreaks count="1" manualBreakCount="1">
    <brk id="31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1000"/>
  <sheetViews>
    <sheetView workbookViewId="0"/>
  </sheetViews>
  <sheetFormatPr defaultColWidth="12.5703125" defaultRowHeight="15" customHeight="1"/>
  <cols>
    <col min="1" max="1" width="3.140625" customWidth="1"/>
    <col min="2" max="2" width="2.5703125" customWidth="1"/>
    <col min="3" max="3" width="3.85546875" customWidth="1"/>
    <col min="4" max="26" width="8.42578125" customWidth="1"/>
  </cols>
  <sheetData>
    <row r="1" spans="1:7" ht="15.75" customHeight="1">
      <c r="A1" s="566">
        <v>1201</v>
      </c>
      <c r="B1" s="566" t="s">
        <v>128</v>
      </c>
      <c r="C1" s="566">
        <v>16800</v>
      </c>
      <c r="E1" s="566" t="s">
        <v>518</v>
      </c>
      <c r="F1" s="566" t="s">
        <v>519</v>
      </c>
    </row>
    <row r="2" spans="1:7" ht="15.75" customHeight="1">
      <c r="A2" s="566">
        <v>1301</v>
      </c>
      <c r="B2" s="566" t="s">
        <v>385</v>
      </c>
      <c r="C2" s="566">
        <v>3040</v>
      </c>
      <c r="E2" s="566" t="s">
        <v>520</v>
      </c>
      <c r="F2" s="567">
        <v>45000</v>
      </c>
      <c r="G2" s="567" t="s">
        <v>521</v>
      </c>
    </row>
    <row r="3" spans="1:7" ht="15.75" customHeight="1">
      <c r="B3" s="566" t="s">
        <v>198</v>
      </c>
      <c r="C3" s="566">
        <v>300</v>
      </c>
      <c r="G3" s="566" t="s">
        <v>522</v>
      </c>
    </row>
    <row r="4" spans="1:7" ht="15.75" customHeight="1">
      <c r="A4" s="566">
        <v>1402</v>
      </c>
      <c r="C4" s="566">
        <v>6500</v>
      </c>
    </row>
    <row r="5" spans="1:7" ht="15.75" customHeight="1">
      <c r="A5" s="566">
        <v>1432</v>
      </c>
      <c r="C5" s="566">
        <v>6800</v>
      </c>
    </row>
    <row r="6" spans="1:7" ht="15.75" customHeight="1">
      <c r="A6" s="566">
        <v>1613</v>
      </c>
      <c r="C6" s="566">
        <v>15000</v>
      </c>
    </row>
    <row r="7" spans="1:7" ht="15.75" customHeight="1">
      <c r="A7" s="566">
        <v>1633</v>
      </c>
      <c r="C7" s="566">
        <v>15000</v>
      </c>
    </row>
    <row r="8" spans="1:7" ht="15.75" customHeight="1"/>
    <row r="9" spans="1:7" ht="15.75" customHeight="1"/>
    <row r="10" spans="1:7" ht="15.75" customHeight="1"/>
    <row r="11" spans="1:7" ht="15.75" customHeight="1"/>
    <row r="12" spans="1:7" ht="15.75" customHeight="1">
      <c r="C12" s="566">
        <f>SUM(C1:C11)</f>
        <v>63440</v>
      </c>
    </row>
    <row r="13" spans="1:7" ht="15.75" customHeight="1"/>
    <row r="14" spans="1:7" ht="15.75" customHeight="1"/>
    <row r="15" spans="1:7" ht="15.75" customHeight="1"/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30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表1｜綜計表</vt:lpstr>
      <vt:lpstr>表2｜主要表</vt:lpstr>
      <vt:lpstr>表3-1｜期入決算附屬表</vt:lpstr>
      <vt:lpstr>表3-2｜期出決算附屬表</vt:lpstr>
      <vt:lpstr>可以砍的地方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m1</cp:lastModifiedBy>
  <dcterms:modified xsi:type="dcterms:W3CDTF">2026-05-04T15:50:32Z</dcterms:modified>
</cp:coreProperties>
</file>