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1｜綜計表" sheetId="1" r:id="rId4"/>
    <sheet state="visible" name="表2｜主要表" sheetId="2" r:id="rId5"/>
    <sheet state="visible" name="表3-1｜期入預算附屬表" sheetId="3" r:id="rId6"/>
    <sheet state="visible" name="表3-2｜期出預算附屬表" sheetId="4" r:id="rId7"/>
    <sheet state="hidden" name="可以砍的地方" sheetId="5" r:id="rId8"/>
  </sheets>
  <definedNames/>
  <calcPr/>
</workbook>
</file>

<file path=xl/sharedStrings.xml><?xml version="1.0" encoding="utf-8"?>
<sst xmlns="http://schemas.openxmlformats.org/spreadsheetml/2006/main" count="1488" uniqueCount="419">
  <si>
    <t>國立臺灣大學學生會總預算案</t>
  </si>
  <si>
    <t>綜計表</t>
  </si>
  <si>
    <t>第37屆第二期間（113-2）</t>
  </si>
  <si>
    <t>2025年03月04日至2025年07月31日</t>
  </si>
  <si>
    <t>單位：新台幣元</t>
  </si>
  <si>
    <t>單位別</t>
  </si>
  <si>
    <t>本期間期入</t>
  </si>
  <si>
    <t>佔本期間期入</t>
  </si>
  <si>
    <t>本期間期出</t>
  </si>
  <si>
    <t>佔本期間期出</t>
  </si>
  <si>
    <t>款</t>
  </si>
  <si>
    <t>項</t>
  </si>
  <si>
    <t>說明</t>
  </si>
  <si>
    <t>預算數</t>
  </si>
  <si>
    <t>百分比</t>
  </si>
  <si>
    <t>合計</t>
  </si>
  <si>
    <t>行政部門</t>
  </si>
  <si>
    <t>會長</t>
  </si>
  <si>
    <t>秘書處</t>
  </si>
  <si>
    <t>財務部</t>
  </si>
  <si>
    <t>學權部</t>
  </si>
  <si>
    <t>學術部</t>
  </si>
  <si>
    <t>文化部</t>
  </si>
  <si>
    <t>公關部</t>
  </si>
  <si>
    <t>選舉罷免執行委員會</t>
  </si>
  <si>
    <t>國際事務部</t>
  </si>
  <si>
    <t>A</t>
  </si>
  <si>
    <t>資訊部</t>
  </si>
  <si>
    <t>立法部門</t>
  </si>
  <si>
    <t>學生代表大會</t>
  </si>
  <si>
    <t>司法部門</t>
  </si>
  <si>
    <t>學生法院</t>
  </si>
  <si>
    <t>部門預算</t>
  </si>
  <si>
    <t>單位預算</t>
  </si>
  <si>
    <t>目</t>
  </si>
  <si>
    <t>附屬單位預算</t>
  </si>
  <si>
    <t>節</t>
  </si>
  <si>
    <t>計畫名稱</t>
  </si>
  <si>
    <t>主要表</t>
  </si>
  <si>
    <t>單位計畫別</t>
  </si>
  <si>
    <t>預算科目</t>
  </si>
  <si>
    <t>本期期入</t>
  </si>
  <si>
    <t>本期期出</t>
  </si>
  <si>
    <t>各計畫會費支出情形</t>
  </si>
  <si>
    <t>代碼</t>
  </si>
  <si>
    <t>名稱</t>
  </si>
  <si>
    <t>1</t>
  </si>
  <si>
    <t>0</t>
  </si>
  <si>
    <t>一般行政計畫</t>
  </si>
  <si>
    <t>2</t>
  </si>
  <si>
    <t>2024 春季招募計畫</t>
  </si>
  <si>
    <t>3</t>
  </si>
  <si>
    <t xml:space="preserve">2025社團博覽會	</t>
  </si>
  <si>
    <t>4</t>
  </si>
  <si>
    <t xml:space="preserve">學生會全會交流計畫	</t>
  </si>
  <si>
    <t>5</t>
  </si>
  <si>
    <t xml:space="preserve">全校師生座談會計畫	</t>
  </si>
  <si>
    <t>6</t>
  </si>
  <si>
    <t>職棒會長來台大－職棒如何走向榮景及新球季展望</t>
  </si>
  <si>
    <t>9</t>
  </si>
  <si>
    <t>預備金</t>
  </si>
  <si>
    <t>會費支出：7528</t>
  </si>
  <si>
    <t>性別工作坊</t>
  </si>
  <si>
    <t>生理用品交換站暨月經議題倡議計畫</t>
  </si>
  <si>
    <t>NTU LGTBQ+ Community</t>
  </si>
  <si>
    <t>性別樹洞</t>
  </si>
  <si>
    <t>節目製作【台大沒有愛那些大學戀情的坎坷與曲折，以及當今的性別議題】</t>
  </si>
  <si>
    <t>轉型正義組</t>
  </si>
  <si>
    <t>走讀活動【臺大記憶地圖：民主與自由的歷史軌跡】</t>
  </si>
  <si>
    <t>讀書會【轉型正義讀書沙龍】</t>
  </si>
  <si>
    <t>參訪活動【跟著轉型正義小組一同參訪去：景美白色恐怖人權園區】</t>
  </si>
  <si>
    <t>社群經營【轉型正義小組社群經營】</t>
  </si>
  <si>
    <t>永續組</t>
  </si>
  <si>
    <t>「拾海 • 藍印」淨灘與「循環零廢棄」網站架設</t>
  </si>
  <si>
    <t>二手彩妝校園定點募集</t>
  </si>
  <si>
    <t>2025世界地球日「垃圾復活日」對談暨餐會</t>
  </si>
  <si>
    <t>本土語言小組</t>
  </si>
  <si>
    <t>台語文課程講座</t>
  </si>
  <si>
    <t>合辦本土語言週活動</t>
  </si>
  <si>
    <t>講座【客語音樂人經驗分享】</t>
  </si>
  <si>
    <t>講座【族名單列與族語復振的倡議及挑戰】</t>
  </si>
  <si>
    <t>社群經營【本土語言小組社群經營】</t>
  </si>
  <si>
    <t>2025 臺大電影節社區串聯放映</t>
  </si>
  <si>
    <t>7</t>
  </si>
  <si>
    <t>8</t>
  </si>
  <si>
    <t>選務行政計畫</t>
  </si>
  <si>
    <t>權益組</t>
  </si>
  <si>
    <t>Foreign Student Conference</t>
  </si>
  <si>
    <t>活動組</t>
  </si>
  <si>
    <t>手作食物DIY</t>
  </si>
  <si>
    <t>復活節之夜</t>
  </si>
  <si>
    <t>Career Day</t>
  </si>
  <si>
    <t>全校網際網路服務體驗改善專案計畫</t>
  </si>
  <si>
    <t>校內新資訊系統開發流程規範追蹤計畫</t>
  </si>
  <si>
    <t>校內資訊安全與隱私權議題探討及改善倡議計畫</t>
  </si>
  <si>
    <t>陳情案件處理及資訊相關突發事件追蹤</t>
  </si>
  <si>
    <t>學生會內資訊基礎建設與會內訓練工作坊</t>
  </si>
  <si>
    <t>校園資料收集與分析</t>
  </si>
  <si>
    <t>一般立法計畫</t>
  </si>
  <si>
    <t xml:space="preserve">選舉監察計畫        </t>
  </si>
  <si>
    <t xml:space="preserve">友校學生議會交流計畫        </t>
  </si>
  <si>
    <t>一般司法計畫</t>
  </si>
  <si>
    <t>期入預算附屬表</t>
  </si>
  <si>
    <t>本期間</t>
  </si>
  <si>
    <t>委員會意見｜大會審議結果</t>
  </si>
  <si>
    <t>Z04</t>
  </si>
  <si>
    <t>公關贊助收入</t>
  </si>
  <si>
    <t>各類廠商贊助</t>
  </si>
  <si>
    <t>Z99</t>
  </si>
  <si>
    <t>前期轉入</t>
  </si>
  <si>
    <t>第37-1屆期間總決算尚未編造及審議完成，依目前中信及郵局存簿餘額暫列為1,828,833元</t>
  </si>
  <si>
    <t xml:space="preserve">2025春季招募計畫	</t>
  </si>
  <si>
    <t>2025社團博覽會</t>
  </si>
  <si>
    <t>學生會全會交流計畫</t>
  </si>
  <si>
    <t>全校師生座談會計畫</t>
  </si>
  <si>
    <t>2025世界地球日「垃圾復活日</t>
  </si>
  <si>
    <t>」對談暨餐會</t>
  </si>
  <si>
    <t>Z52</t>
  </si>
  <si>
    <t>學校專案補助</t>
  </si>
  <si>
    <t>(1) 學務處課外組選務常態補助。</t>
  </si>
  <si>
    <t xml:space="preserve">學代議事培力坊        </t>
  </si>
  <si>
    <t xml:space="preserve"> </t>
  </si>
  <si>
    <t>鐘點費</t>
  </si>
  <si>
    <t>A02</t>
  </si>
  <si>
    <t>工作費</t>
  </si>
  <si>
    <t>(1)會長、兩位副會長工作費：每小時190元，以每週3小時計，共21週，共3名，總計35,910元。</t>
  </si>
  <si>
    <t>B01</t>
  </si>
  <si>
    <t>行政費</t>
  </si>
  <si>
    <t>(1)會長、兩位副會長行政費，1000元/月*5個月*3人=15,000元。</t>
  </si>
  <si>
    <t>B02</t>
  </si>
  <si>
    <t>誤餐費</t>
  </si>
  <si>
    <t>(1)幹部會議誤餐費，每位100元，共20位，共14次，總計28,000元</t>
  </si>
  <si>
    <t>B05</t>
  </si>
  <si>
    <t>印刷費</t>
  </si>
  <si>
    <t>(1)臨時需印製各類文件、海報之費用。</t>
  </si>
  <si>
    <t>B99</t>
  </si>
  <si>
    <t>雜支</t>
  </si>
  <si>
    <t>(1)臨時需製作美工、購買用具之費用。</t>
  </si>
  <si>
    <t xml:space="preserve">2025春季招募計畫        </t>
  </si>
  <si>
    <t>(1)印製招生海報費用</t>
  </si>
  <si>
    <t>B06</t>
  </si>
  <si>
    <t>場地費</t>
  </si>
  <si>
    <t>(1) 教室借用費：700/次，4次，共2,800元。</t>
  </si>
  <si>
    <t>A01</t>
  </si>
  <si>
    <t>臨時工資</t>
  </si>
  <si>
    <t>(1) 攤位工作人員：190元/時，預計8人，4時/人，共6,080元。</t>
  </si>
  <si>
    <t>(1) 攤位工作人員餐費，每人100，預計8人，總計800元</t>
  </si>
  <si>
    <t>(1)場地費，租借攤位(不用電)，1000/攤</t>
  </si>
  <si>
    <t>A04</t>
  </si>
  <si>
    <t>(1)講師費：部內幹部介紹自己部內事務，每人500元，預計12人，總計6,000元。</t>
  </si>
  <si>
    <t>B03</t>
  </si>
  <si>
    <t>茶點費</t>
  </si>
  <si>
    <t>(1)茶點費：會內交流活動之茶點，每人80元預計60人，總計4,800元。</t>
  </si>
  <si>
    <t>(1) 沃思借用費：2,800/次，1次，共2,800元。</t>
  </si>
  <si>
    <t>(1)交流所需文具費</t>
  </si>
  <si>
    <t>(1)事前籌辦及現場工作人員，每小時190元，以15小時計，共2,850元。</t>
  </si>
  <si>
    <t>餐費</t>
  </si>
  <si>
    <t>(1)100元/人，共150人，總計15,000元。</t>
  </si>
  <si>
    <t>(1)海報300元/張，共4張，1,200元。</t>
  </si>
  <si>
    <t>工作人數 8 人，以法定基本工資每小時190 元計，總共 4*8*190=6,080 元。</t>
  </si>
  <si>
    <t xml:space="preserve">邀請兩位講師，每位2000元，總共4,000元
</t>
  </si>
  <si>
    <t>講師及其助理餐費，共3位，每位80元，總共240元</t>
  </si>
  <si>
    <t>預計租借博雅教學館102教室，共一間，共 7,500*1=7,500 元。</t>
  </si>
  <si>
    <t>活動雜項支出，總共480元</t>
  </si>
  <si>
    <t>依預算法編列單位預算 5%。</t>
  </si>
  <si>
    <t>(1) 活動場地組：預計25小時(2) 空間財產組：預計25小時(3) 文書檔案組：預計5小時，190元/時，55小時，共10,450元。</t>
  </si>
  <si>
    <t>依作業要點編列，本期間以5月計算，1000元 / 月。</t>
  </si>
  <si>
    <t>B04</t>
  </si>
  <si>
    <t>耗材費</t>
  </si>
  <si>
    <t>(1)預計作為全會文具耗材購置使用</t>
  </si>
  <si>
    <t>(1)作為場地活動申請文件之印刷費</t>
  </si>
  <si>
    <t>(1)各部門借用之例會場地費</t>
  </si>
  <si>
    <t>(1)依作業要點編列，每一計畫不超過500元。</t>
  </si>
  <si>
    <t>C01</t>
  </si>
  <si>
    <t>設備費</t>
  </si>
  <si>
    <t>例行性設備維修添購</t>
  </si>
  <si>
    <t xml:space="preserve">(1) 副部長1人處理核銷費用，每週約1小時，共21週，共190*21=3,990。 </t>
  </si>
  <si>
    <t xml:space="preserve">(2) 副部長1人處理出納費用，每週約1小時，共21週，共190*21=3,990。 </t>
  </si>
  <si>
    <t>(3) 部長處理預決算編造之費用，約42小時，共190*42=7980。     共 190*84=15960</t>
  </si>
  <si>
    <t>依作業要點編列，本期間以5個月計算，1,000元 / 月，共1,000*5=5,000元。</t>
  </si>
  <si>
    <t>B14</t>
  </si>
  <si>
    <t>手續費</t>
  </si>
  <si>
    <t>(1) 金融往來之手續費，轉帳每次15元或30元，共300元。</t>
  </si>
  <si>
    <t>處理陳情案及辦理活動，共計140小時，190*140=26600</t>
  </si>
  <si>
    <t>依作業要點編列，本期間以5個月計算，本部有3位正副部長（1位部長、2位副部長），每個月1,000+500*2元，共計10,000元。</t>
  </si>
  <si>
    <t>性別平等工作坊</t>
  </si>
  <si>
    <t>依作業要點編列，本期間以5個月計算，本單位有2位負責人，每個月500*2元，共計5,000元。</t>
  </si>
  <si>
    <t>生理用品交換站維護費：初估第二期間執行此計劃所需投入時間至少為7小時，時薪190，共1,330元。</t>
  </si>
  <si>
    <t>A03</t>
  </si>
  <si>
    <t>稿費</t>
  </si>
  <si>
    <t>製圖費：預計第二期間將進行至少1張的校園生理用品交換站站點維護資訊更新，每張圖100元，共計100元。</t>
  </si>
  <si>
    <t>生理用品購買：預計第二期間將購買至少100包衛生棉（每包有20片衛生棉，100包即2000片），每包45 元，共 4,500 元。</t>
  </si>
  <si>
    <t>(1)事前籌辦（主題發想、活動內容準備、表單設計）：初估第二期間執行此計劃所需投入時間至少為10小時，時薪190，共1,900元。</t>
  </si>
  <si>
    <t>(2)當天主持與紀錄：初估第二期間執行此計劃所需投入時間至少為5小時，時薪190，共950元。</t>
  </si>
  <si>
    <t>(1)活動側記暨活動回顧貼文：性工坊將派員紀錄活動討論情形，至少3篇，每篇文稿至少 800字，每字0.8元，共計1,920元。</t>
  </si>
  <si>
    <t>(2)製圖費：預計第二期間將進行至少3張的社群平台圖卡宣傳，每張圖50元，共計150元。</t>
  </si>
  <si>
    <t>活動餐費：預計第二期間將舉行至少３次活動，每次需準備至少45份餐，每份100元，共計13,500元（活動皆舉辦於晚餐時段，而餐點預計購買烘焙坊茶點）。</t>
  </si>
  <si>
    <t>租借費用：執行此計畫之場地租費為3次，每次四小時700元 ，共2,100 元。</t>
  </si>
  <si>
    <t>(1)依作業要點編列，每一計畫不超過500元。專案執行期間其他支出，預計花費500元。</t>
  </si>
  <si>
    <t>表單設計與活動執行：初估第二期間執行此計劃所需投入時間至少為 10 小時，時薪 190，共 1,900 元。</t>
  </si>
  <si>
    <t>(1)投稿內容回覆及貼文文案撰寫：預計第一期間將發布至少 5 次的回覆貼文，每篇貼文至少 800 字，每字 0.8 元，共計 3,200 元。</t>
  </si>
  <si>
    <t>(2)製圖費：預計第二期間將進行至少 5 張的社群平台圖卡宣傳，每張圖 50 元，共計 250 元。</t>
  </si>
  <si>
    <t>節目製作【台大沒有愛</t>
  </si>
  <si>
    <t>那些大學戀情的坎坷與曲折</t>
  </si>
  <si>
    <t>，以及當今的性別議題】</t>
  </si>
  <si>
    <t>(1)節目製作費：初估第二期間執行此計劃所需投入時間至少為每集4小時，共10集，時薪190，共7,600元。</t>
  </si>
  <si>
    <t>(2)後期製作費：初估第二期間執行此計劃所需投入時間至少為每集5小時，共10集，時薪190，共9,500元。</t>
  </si>
  <si>
    <t>與談人鐘點費：參酌《講座鐘點費支給表》。預計執行此計畫將邀請至少10位與談人進行節目錄製，每位與談人1,200元，共12,000元。</t>
  </si>
  <si>
    <t>錄音設備購置費：預計第二期間將購買至少2臺的社簡易型錄音麥克風，每臺2,000元，共計4,000元。</t>
  </si>
  <si>
    <t>轉型正義小組</t>
  </si>
  <si>
    <t xml:space="preserve"> 一般行政計畫</t>
  </si>
  <si>
    <t>走讀活動【臺大記憶地圖：</t>
  </si>
  <si>
    <t>民主與自由的歷史軌跡】</t>
  </si>
  <si>
    <t>(1)主視覺設計：初估第二期間執行此計劃所需投入時間至少為3小時，時薪190，共570元。</t>
  </si>
  <si>
    <t>(2)報名表單設計：初估第二期間執行此計劃所需投入時間至少為1小時，時薪190，共190元。</t>
  </si>
  <si>
    <t>(3)講義設計：初估第二期間執行此計劃所需投入時間至少為3小時，時薪190，共570元。</t>
  </si>
  <si>
    <t>(4)活動執行：初估第二期間執行此計劃所需投入時間至少為12小時，時薪190，共2,280元。</t>
  </si>
  <si>
    <t>(1)貼文文案撰寫：預計第二期間將發布至少2次的宣傳貼文，每篇貼文至少500字，每字0.8元，共計800元。</t>
  </si>
  <si>
    <t>(2)製圖費：預計第二期間將進行至少10張的社群圖卡宣傳，每張圖50元，共計500元。</t>
  </si>
  <si>
    <t>導讀講師鐘點費：參酌《講座鐘點費支給表》。外聘國內專家學者之上限為1人2,000元。預計執行此計畫將邀請至少1位講者進行導讀，共2,000元。</t>
  </si>
  <si>
    <t>講義印刷費</t>
  </si>
  <si>
    <t>講義印刷費：預計活動期間需印製至少25份講義，每份20元，共500元。</t>
  </si>
  <si>
    <t>專案執行期間其他支出，預計花費500元。</t>
  </si>
  <si>
    <t>(3)活動執行：初估第二期間執行此計劃所需投入時間至少為18小時，時薪190，共3,420元。</t>
  </si>
  <si>
    <t>(1)貼文文案撰寫：預計第二期間將發布至少3次的宣傳貼文，每篇貼文至少500字，每字0.8元，共計1,200元。</t>
  </si>
  <si>
    <t>(2)製圖費：預計第二期間將進行至少9張的社群圖卡宣傳，每張圖50元，共計450元。</t>
  </si>
  <si>
    <t>導讀講師鐘點費：參酌《講座鐘點費支給表》。預計此計劃將有3次導讀（每次2小時）共6小時，每小時600元，共3,600元。</t>
  </si>
  <si>
    <t>參訪活動【跟著轉型正義小組</t>
  </si>
  <si>
    <t>一同參訪去：景美白色恐怖人權園區】</t>
  </si>
  <si>
    <t>(1)報名表單設計：初估第二期間執行此計劃所需投入時間至少為1小時，時薪190，共190元。</t>
  </si>
  <si>
    <t>(2)活動執行：初估第二期間執行此計劃所需投入時間至少為2小時，時薪190，共380元。</t>
  </si>
  <si>
    <t>(1)貼文文案撰寫：預計第二期間將發布至少1次的宣傳貼文，每篇貼文至少500字，每字0.8元，共計400元。</t>
  </si>
  <si>
    <t>(2)製圖費：預計第二期間將進行至少5張的社群圖卡宣傳，每張圖50元，共計250元。</t>
  </si>
  <si>
    <t>粉專管理費：初估第二期間執行此計劃所需投入時間至少為9小時，時薪190，共1,710元。</t>
  </si>
  <si>
    <t>(1)貼文文案撰寫：預計第二期間將發布至少4次的宣傳貼文，每篇貼文至少500字，每字0.8元，共計1,600元。</t>
  </si>
  <si>
    <t>(2)製圖費：預計第二期間將進行至少20張的社群圖卡宣傳，每張圖50元，共計1000元。</t>
  </si>
  <si>
    <t>永續執行組</t>
  </si>
  <si>
    <t>依作業要點編列，本期間以5個月計算，本單位有1位負責人，每個月500元，共計2,500元。</t>
  </si>
  <si>
    <t>「拾海 • 藍印」淨灘與「循環零</t>
  </si>
  <si>
    <t>廢棄」網站架設</t>
  </si>
  <si>
    <t>(1)活動執行：初估第二期間執行此計劃所需投入時間至少為 10 小時，時薪 190，共 1,900 元。</t>
  </si>
  <si>
    <t>(2)洽談業務：初估第二期間執行此計劃所需投入時間至少為 3 小時，時薪 190，共 570 元。</t>
  </si>
  <si>
    <t>(3)架設網站：初估第二期間執行此計劃所需投入時間至少為 6 小時，時薪 190，共 1,140 元。</t>
  </si>
  <si>
    <t>(1)文案撰寫：預計第二期間將發布至少 6 次的回覆貼文，每篇貼文至少 500 字，每字 0.8 元，共計 2,400 元。</t>
  </si>
  <si>
    <t>(2)製圖費：預計第二期間將進行至少 30 張的社群平台圖卡宣傳，每張圖 50 元，共計 1,500 元。</t>
  </si>
  <si>
    <t>場地租借費用：預計第二期間執行此計劃，需包場Blue Dot餐廳，共 2,000 元。</t>
  </si>
  <si>
    <t>B12</t>
  </si>
  <si>
    <t>資通服務使用費</t>
  </si>
  <si>
    <t>Line平台官方帳號使用費用：預計第二期間執行此計劃，需以 800 元購買LINE官方帳號的免費訊息則數，以宣傳及活動後續通知網站議題討論結果。</t>
  </si>
  <si>
    <t>活動執行：初估第二期間執行此計劃所需投入時間至少為 5 小時，時薪 190，共 950 元。</t>
  </si>
  <si>
    <t>(2)洽談業務：初估第二期間執行此計劃所需投入時間至少為 2 小時，時薪 190，共 380 元。</t>
  </si>
  <si>
    <t>講師鐘點費：參酌《講座鐘點費支給表》。預計執行此計劃將邀請 8 位講師，每小時 1,000 元（每位一小時至兩小時不等，共計13小時），共 13,000元。</t>
  </si>
  <si>
    <t>地球日餐會費用：預計第二期間執行此計劃需準備至少 70 份餐，每份 100 元，共 7,000 元。</t>
  </si>
  <si>
    <t>活動耗材購置：預計第二期間執行此計劃，需準備美術材料佈置場地，共 2,500 元。</t>
  </si>
  <si>
    <t>場地租借費用：預計第二期間執行此計劃，需租借二活沃思空間，（含彩排時段）共 5,760 元。</t>
  </si>
  <si>
    <t>B07</t>
  </si>
  <si>
    <t>獎品費</t>
  </si>
  <si>
    <t>有獎徵答獎品購置：預計第二期間執行此計劃，需購買10份獎品，每份200元，共2,000元。</t>
  </si>
  <si>
    <t>B08</t>
  </si>
  <si>
    <t>廣告費</t>
  </si>
  <si>
    <t>活動廣告費：預計第二期間執行此計劃，需進行3次活動廣告，每次500元，共1,500元。</t>
  </si>
  <si>
    <t>B10</t>
  </si>
  <si>
    <t>差旅費</t>
  </si>
  <si>
    <t>講師差旅費：預計第二期間執行此計劃，需給予校外講師每人 500 元的差旅費（共 4 位校外講師），共 2,000 元。</t>
  </si>
  <si>
    <t>B15</t>
  </si>
  <si>
    <t>設備租借費</t>
  </si>
  <si>
    <t>地球日餐會循環餐盒租借費用：預計第二期間執行此計劃，需租借循環餐盒70組，每組15元，共1,050元。</t>
  </si>
  <si>
    <t>活動執行：初估第二期間執行此計劃所需投入時間至少為 12 小時，時薪 190，共 2,280元。</t>
  </si>
  <si>
    <t>租借費用：執行此計畫之場地租費為 5 次，每次四小時700元 ，共 3,500 元。</t>
  </si>
  <si>
    <t>活動執行：初估第二期間執行此計劃所需投入時間至少為 5 天，每天 12 小時，時薪190，共 11,400 元。</t>
  </si>
  <si>
    <t>(1)貼文文案撰寫：預計第二期間將發布至少 2 次的宣傳貼文，每篇貼文至少 500 字，每字 0.8 元，共計 800 元。</t>
  </si>
  <si>
    <t>(2)製圖費：預計第二期間將進行至少 4 張的社群圖卡宣傳，每張圖 50 元，共計 200 元。</t>
  </si>
  <si>
    <t>防水海報印刷費：預計第二期間將印製至少 7 張的防水海報，每張防水海報 800 元，共計 5,600 元。</t>
  </si>
  <si>
    <t>活動執行：初估第二期間執行此計劃所需投入時間至少為 6 小時，時薪 190，共 1,140 元。</t>
  </si>
  <si>
    <t>(1)貼文文案撰寫：預計第二期間將發布至少 1 次的宣傳貼文，每篇貼文至少 500 字，每字 0.8 元，共計 400 元。</t>
  </si>
  <si>
    <t>(2)製圖費：預計第二期間將進行至少 3 張的社群圖卡宣傳，每張圖 50 元，共計 150 元。</t>
  </si>
  <si>
    <t>講師鐘點費：參酌《講座鐘點費支給表》。預計執行此計畫將邀請至少 1 位講者進行演講 2 小時，每小時 1,000 元，共 2,000 元。</t>
  </si>
  <si>
    <t>租借費用：執行此計畫之場地租費為 1 次，每次四小時 700 元 ，共 700 元。</t>
  </si>
  <si>
    <t>粉專管理費：初估第二期間執行此計劃所需投入時間至少為 6 小時，時薪190，共1,140元。</t>
  </si>
  <si>
    <t>(1)貼文文案撰寫：預計第二期間將發布至少 3 次的宣傳貼文，每篇貼文至少 500 字，每字 0.8 元，共計 1,200 元。</t>
  </si>
  <si>
    <t>(2)製圖費：預計第二期間將進行至少 12 張的社群圖卡宣傳，每張圖 50 元，共計 600 元。</t>
  </si>
  <si>
    <t>依預算法編列單位預算5%</t>
  </si>
  <si>
    <t>演講講師之鐘點費以$2,000為原則，共六場</t>
  </si>
  <si>
    <t>諮詢過臺大周遭咖啡館相關放映空間，場地平均單價為$2,000/小時，每場粗估準備一小時、放映兩小時、映後座談一小時、收拾一小時，共五小時$10,000。六場共約 $60,000</t>
  </si>
  <si>
    <t>依往年支出顯示，Facebook粉絲專頁與Instagram帳號單次下廣告費用以$500為原則，六場活動共六次</t>
  </si>
  <si>
    <t>B09</t>
  </si>
  <si>
    <t>公關費</t>
  </si>
  <si>
    <t>單價以中華郵政官網公告之國內郵件資費表：重量不逾5公斤包裹之掛號郵資計算</t>
  </si>
  <si>
    <t>B13</t>
  </si>
  <si>
    <t>授權費</t>
  </si>
  <si>
    <t>(1)短片：與藝術季合作在其展場進行短片放映，依照過往短片影展平均單價，一場大約為3000元計算。十場共30,000元。(2)長片：根據過往長片影展影片平均單價計算，以一部7,500計算。六場共約45,000元。</t>
  </si>
  <si>
    <t>匯款手續費以每次15元計算，藝術季短片放映預計十場，臺大電影節社區串連六場，共16次，240元。</t>
  </si>
  <si>
    <t>(1)：粉專經營工作費、特約商家簽約工作費：10小時。每小時190元，共1,900元。</t>
  </si>
  <si>
    <t>(2)：粉專發文、製圖稿費，含其他部門粉專：35篇，每篇500，共17500元。</t>
  </si>
  <si>
    <t>(1)選務組：選舉公告撰寫、選務流程規劃與執行，預計10小時</t>
  </si>
  <si>
    <t>(2)票務組：選票設計與印刷、選票章戳作業，預計10小時</t>
  </si>
  <si>
    <t>(3)人資組：選務人員召募作業、篩選錄取作業、選務人員訓練流程規劃與執行、選務人員管理與績效評估，預計10小時</t>
  </si>
  <si>
    <t>(4)場地組：選舉場地挑選、整併與勘查，預計5小時</t>
  </si>
  <si>
    <t>(5)財務組：本會請款資料搜集與整理、學生會請款作業、課外組補助請款作業，預計15小時</t>
  </si>
  <si>
    <t>(6)本會成員：本會會議出席5次、學代會大會列席預計2至3次，每次會議2小時、12人，酌計20小時</t>
  </si>
  <si>
    <t>訴訟業務諮詢費：500元/次，預計1次。</t>
  </si>
  <si>
    <t>依作業要點編列：1000元/月，本期以5月計算。</t>
  </si>
  <si>
    <t>會議所需之正餐餐點，預計5次會議，每次10人，依作業要點編列，每人每次100元，共50人次。</t>
  </si>
  <si>
    <t>(1)選務所需之文件印製，如行政文書、訓練教材、選票、名冊及各類宣傳文件等，參考前屆同期間預計共15000元。(2)本期印刷費不用於印製摸彩券。</t>
  </si>
  <si>
    <t>選舉抽獎精美禮品，預計5000元。</t>
  </si>
  <si>
    <t>依作業要點編列。</t>
  </si>
  <si>
    <t>(1)選舉當日本會人員：200元/時，預計12人，工時預計16小時(08:00~02:00)，超時前2小時267元/時，超時後8小時443元/時，共57600元。</t>
  </si>
  <si>
    <t>(2)投票所選務人員：200元/時，預計60人，工時預估9小時(08:00~18:00，含休息1小時)，超時前1小時267元/時，共112020元。</t>
  </si>
  <si>
    <t>(3)開票所選務人員：200元/時，預計20人，工時預計7小時(18:30~01:30)，共28000元。</t>
  </si>
  <si>
    <t>(4)選務前置作業：200元/時，預計15人，工時預計7小時，共21,000元。</t>
  </si>
  <si>
    <t>(5)選務善後作業：200元/時，預計15人，工時預計3小時，共9,000元。</t>
  </si>
  <si>
    <t>A91</t>
  </si>
  <si>
    <t>勞保費</t>
  </si>
  <si>
    <t>依作業要點編列，臨時工資所需之勞保費，參考去年同期，共5000元。</t>
  </si>
  <si>
    <t>A92</t>
  </si>
  <si>
    <t>勞退費</t>
  </si>
  <si>
    <t>依作業要點編列，臨時工資所需之勞退費，參考去年同期，預計2000元。</t>
  </si>
  <si>
    <t>(1)投票所誤餐費：100元/人，預計72人，共7200元。
(2)開票所誤餐費：100元/人，預計32人，共3200元。</t>
  </si>
  <si>
    <t>選舉用具：預計5000元</t>
  </si>
  <si>
    <t>(1)人員訓練借用教室：700元/日，預計2日，共1400元。
(2)會議場地：700元/日，預計5日，共3500元。</t>
  </si>
  <si>
    <t>B11</t>
  </si>
  <si>
    <t>運費</t>
  </si>
  <si>
    <t>票匭運費：租用車輛搬運票匭往返各投票所與開票所及選票運送，參考去年同期預計11000元。</t>
  </si>
  <si>
    <t>B17</t>
  </si>
  <si>
    <t>宣傳品製作費</t>
  </si>
  <si>
    <t>選舉紀念小物，投票所發放，預計2000元。</t>
  </si>
  <si>
    <t>B18</t>
  </si>
  <si>
    <t>訓練費</t>
  </si>
  <si>
    <t>選務人員訓練費：200元/時，預計110人次，含候補，2小時，共44000元。</t>
  </si>
  <si>
    <t>依作業要點編列</t>
  </si>
  <si>
    <t>(1) 幹部工作費：4人，每人2小時/週，190/時，共190*2*4*21 = 31,920 元。</t>
  </si>
  <si>
    <t>四位幹部平均每1-2週在部會前，都會開[2-3]小時之幹部會議，討論部會之內容、專案管理規劃基本運作等行政問題；而1位部長每週花費約2小時擬定部會前紀錄、2位副部長進行支援部員之活動、財務每週約花費2小時進行財務資料分類統整、因總時長無法確切完善囊括，故統一為幹部每人2小時/週。</t>
  </si>
  <si>
    <t>(1)製圖費：300元/張，預估8張，共2,400元</t>
  </si>
  <si>
    <t>(2)文字稿費（長：300字），300/篇，預估8篇，共2,400元</t>
  </si>
  <si>
    <t>依作業要點編列，本期間以五月計算，1000元 / 月。</t>
  </si>
  <si>
    <t>依作業要點編列，本期間以2次計算，每次21人，75元 / 人次。</t>
  </si>
  <si>
    <t>Foreign Student Conference 境外生聯合會議</t>
  </si>
  <si>
    <t>翻譯費：翻譯時長為 3 小時，以每小時1,500元計算，共1,500*3=4,500元。</t>
  </si>
  <si>
    <t>參與者餐費：預計有100位參與者，以每人100元估算，共100*100=10,000元。</t>
  </si>
  <si>
    <t>海報、講義及其他紙本文件：海報、講義、報到表等，共3,700元。</t>
  </si>
  <si>
    <t>第一會議室：會議預計租借第一會議室作為會場，共1,500元。</t>
  </si>
  <si>
    <t>填寫問卷的禮品：以每人200元估算，30人將獲得禮品，共200*30=6000元。</t>
  </si>
  <si>
    <t>依作業要點編列，每一計畫不超過500元。</t>
  </si>
  <si>
    <t>(1)粉專製圖：300/張，預計1張，共300元。(2)文字稿費(長：300字）：300元/篇，預估1篇，共300元。</t>
  </si>
  <si>
    <t>參與者誤餐費：預計有50位參與者，以每人100元估算，共100*50 = 5,000元。</t>
  </si>
  <si>
    <t>活動用品道具：活動使用的 photo booth 材料、遊戲設備、卡片等，概估共500元。</t>
  </si>
  <si>
    <t>海報文宣印製：宣傳海報、報到表等，概估共200元。</t>
  </si>
  <si>
    <t>新生（夜間）：預計租借新生教室（60人）平日夜間時段，共700元。</t>
  </si>
  <si>
    <t>參與者餐費：預計有50位參與者，以每人100元估算，共50*100 = 5,000元。</t>
  </si>
  <si>
    <t>活動用品道具：活動使用的 photo booth 材料、遊戲設備、卡片等，概估共700元</t>
  </si>
  <si>
    <t>海報文宣印製：宣傳海報、報到表等，概估共200元</t>
  </si>
  <si>
    <t>遊戲贏家：遊戲贏家8組，以每組400元估算，共400*8 = 3,200元</t>
  </si>
  <si>
    <t>受邀講者工作費：預計在三個不同的領域請來有相關經驗的講者，一人以1,000元估算，共1,000*3=3,000元</t>
  </si>
  <si>
    <t>參與者餐費：預計有50位參與者與人員，以每人100元估算，共100*50= 5,000元</t>
  </si>
  <si>
    <t>(1)：一般性部務執行工作費：190 * 10（小時）= 1900 元</t>
  </si>
  <si>
    <t>全校網際網路服務體驗</t>
  </si>
  <si>
    <t>改善專案計畫</t>
  </si>
  <si>
    <t>(1)工作費-校方聯絡工作費：190*10（小時）=1,830 元</t>
  </si>
  <si>
    <t>(2)工作費-部門培力工作費：190*12（小時）=2,196</t>
  </si>
  <si>
    <t>(3)工作費-文件處理工作費：190*4=732</t>
  </si>
  <si>
    <t>校內新資訊系統開發</t>
  </si>
  <si>
    <t>流程規範追蹤計畫</t>
  </si>
  <si>
    <t>(1)工作費－專案追蹤工作費190*10=1,900</t>
  </si>
  <si>
    <t>(2)工作費－校方聯絡工作費190*10=1,900</t>
  </si>
  <si>
    <t>(3)工作費－文件處理工作費190*4=7,600</t>
  </si>
  <si>
    <t>校內資訊安全與隱私權</t>
  </si>
  <si>
    <t>議題探討及改善倡議計畫</t>
  </si>
  <si>
    <t>(1)工作費－校方聯絡工作費190*10=1,900，與校方聯絡、會面與書信來回所需工時，估計每週 0.5 小時</t>
  </si>
  <si>
    <t>(2)工作費－部門培力工作費190*18=3,420，部門培力及事前研究準備，預計 18 小時。</t>
  </si>
  <si>
    <t>(3)工作費－文件處理工作費190*4=760，"整理、撰寫文件紀錄，預計 4 小時‧。</t>
  </si>
  <si>
    <t>陳情案件處理及資訊</t>
  </si>
  <si>
    <t>相關突發事件追蹤</t>
  </si>
  <si>
    <t>(1)工作費－案件處理工作費190*40=7,600</t>
  </si>
  <si>
    <t>(2)工作費－校方聯絡工作費190*20=3,800</t>
  </si>
  <si>
    <t>(3)工作費－文件處理工作費190*4=760</t>
  </si>
  <si>
    <t>(1) 資通服務使用費2,520* 1年= 2,520，使用 UptimeRobot 等服務進行資訊相關突發事件追蹤，一年的使用費共 2,520 元。</t>
  </si>
  <si>
    <t>(1)工作費－工作坊舉辦工作費 190*5=950</t>
  </si>
  <si>
    <t>(2)工作費－程式開發工作費 190*10=1,900</t>
  </si>
  <si>
    <t>(1)工作費－問卷設計與分析 190*10=1,900</t>
  </si>
  <si>
    <t>(2)工作費－校方數據分析 190*10=1,900</t>
  </si>
  <si>
    <t>(1)速記人員：250元/時，預計40小時，共10,000元。(2)場務人員：200元/時，預計25小時，共5,000元。
(3) 秘書人員：200元/時，預計40小時，共8,000元。</t>
  </si>
  <si>
    <t>(1) 公報稿費12,000元。公報以1,500元/份*8場會，若會議時長超過三小時者，以2場會計，共計12,000元
(2) 逐字稿稿費18,000元。逐字稿以錄音每小時1,000元*3小時*6場，計18,000元。</t>
  </si>
  <si>
    <t>(1) 通譯人員：500元/時，預計5小時，共2,500元。按實際口譯時數計，但每人每次會未達1小時者，以1小時計。</t>
  </si>
  <si>
    <t>依作業要點編列，本期間以5月計算，1,000元 / 月（議長副議長）；500元/月（秘書長、二位副祕）。</t>
  </si>
  <si>
    <t>(1)100元*30人*6次常會。</t>
  </si>
  <si>
    <t>(1) 印章：60元/只，4只共240元。(2) 其他雜支：概估1,000元。</t>
  </si>
  <si>
    <t>簽到單、選票、照片等雜項印刷，計1,500元</t>
  </si>
  <si>
    <t>(1)開會場地借用：借用新生教室，含空調1080元*6次，共6,480元。</t>
  </si>
  <si>
    <t>(1)給付選舉監察委員選舉當日巡迴各票點投開票費用，300元/時，共7小時，以每時段3人概估。</t>
  </si>
  <si>
    <t>(1)給付選舉監察委員選舉當日用餐100元*5人*2餐。</t>
  </si>
  <si>
    <t xml:space="preserve">友校學生議會交流計畫	</t>
  </si>
  <si>
    <t>(1)給付參與人員活動當日用餐100元*15人</t>
  </si>
  <si>
    <t>簽到單、照片等雜項印刷，計1,000元</t>
  </si>
  <si>
    <t>購置禮品贈與主辦、協辦單位，每份300元*4份</t>
  </si>
  <si>
    <t>照片寄予友校學生議會留念，掛號郵資以200元計</t>
  </si>
  <si>
    <t>A31</t>
  </si>
  <si>
    <t>評議費</t>
  </si>
  <si>
    <t>300 人/次，同一案至多3次，預估下級庭5案、上級庭2案，解釋庭2案。</t>
  </si>
  <si>
    <t>A32</t>
  </si>
  <si>
    <t>裁判費</t>
  </si>
  <si>
    <t>(1) 下級庭：每案2,100*5 (2) 上級庭：每案2,500*2 (3) 解釋庭：每案4,500*2</t>
  </si>
  <si>
    <t>A33</t>
  </si>
  <si>
    <t>鑑定費</t>
  </si>
  <si>
    <t>囑託個人或團體鑑定，依鑑定複雜程度按件酌給，每案2組鑑定人，每組估1,500元，預計有2案。</t>
  </si>
  <si>
    <t>A34</t>
  </si>
  <si>
    <t>裁判彙編編輯費暨研究費</t>
  </si>
  <si>
    <t>更新裁判彙編（含案由、關鍵字）。</t>
  </si>
  <si>
    <t>A35</t>
  </si>
  <si>
    <t>書記官筆錄謄打費</t>
  </si>
  <si>
    <t>每次開庭之筆錄500元，預計5次。</t>
  </si>
  <si>
    <t>依作業要點編列，本期間以5.5月計算，1,000元 / 月。</t>
  </si>
  <si>
    <t>(1) 院務會議（10人*80*2次） (2) 下級庭（4人*80*4次）(3) 上級庭（6人*80*2次）(4) 解釋庭（10人*80*1次）</t>
  </si>
  <si>
    <t>卷宗影印（每庭預估100元*7次）</t>
  </si>
  <si>
    <t>證人與鑑定人出庭補助：每次行政庭400元，每人補助200元，預估2人，開4次。</t>
  </si>
  <si>
    <t>返鄉專車</t>
  </si>
  <si>
    <t>20-30萬</t>
  </si>
  <si>
    <t>校慶</t>
  </si>
  <si>
    <t>跟院學生會合辦</t>
  </si>
  <si>
    <t>攤位 帳篷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</si>
</sst>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#,##"/>
    <numFmt numFmtId="166" formatCode="#,###"/>
  </numFmts>
  <fonts count="30">
    <font>
      <sz val="10.0"/>
      <color rgb="FF000000"/>
      <name val="Arial"/>
      <scheme val="minor"/>
    </font>
    <font>
      <b/>
      <u/>
      <sz val="14.0"/>
      <color theme="1"/>
      <name val="Source Sans Pro"/>
    </font>
    <font>
      <sz val="12.0"/>
      <color theme="1"/>
      <name val="Source Sans Pro"/>
    </font>
    <font>
      <sz val="12.0"/>
      <color theme="1"/>
      <name val="Arial"/>
    </font>
    <font/>
    <font>
      <color theme="1"/>
      <name val="Source Sans Pro"/>
    </font>
    <font>
      <b/>
      <sz val="14.0"/>
      <color theme="1"/>
      <name val="Source Sans Pro"/>
    </font>
    <font>
      <b/>
      <sz val="12.0"/>
      <color theme="1"/>
      <name val="Source Sans Pro"/>
    </font>
    <font>
      <b/>
      <u/>
      <sz val="14.0"/>
      <color theme="1"/>
      <name val="Source Sans Pro"/>
    </font>
    <font>
      <sz val="11.0"/>
      <color theme="1"/>
      <name val="Source sans pro"/>
    </font>
    <font>
      <sz val="11.0"/>
      <color theme="1"/>
      <name val="Arial"/>
    </font>
    <font>
      <sz val="12.0"/>
      <color rgb="FF000000"/>
      <name val="Source Sans Pro"/>
    </font>
    <font>
      <sz val="12.0"/>
      <color rgb="FF1F1F1F"/>
      <name val="Source Sans Pro"/>
    </font>
    <font>
      <sz val="12.0"/>
      <color rgb="FF1F1F1F"/>
      <name val="Arial"/>
    </font>
    <font>
      <color theme="1"/>
      <name val="Arial"/>
      <scheme val="minor"/>
    </font>
    <font>
      <sz val="12.0"/>
      <color theme="1"/>
      <name val="Arial"/>
      <scheme val="minor"/>
    </font>
    <font>
      <b/>
      <u/>
      <sz val="14.0"/>
      <color theme="1"/>
      <name val="Arial"/>
      <scheme val="minor"/>
    </font>
    <font>
      <b/>
      <u/>
      <sz val="14.0"/>
      <color theme="1"/>
      <name val="Arial"/>
      <scheme val="minor"/>
    </font>
    <font>
      <b/>
      <sz val="14.0"/>
      <color theme="1"/>
      <name val="Arial"/>
      <scheme val="minor"/>
    </font>
    <font>
      <sz val="12.0"/>
      <color rgb="FFFF0000"/>
      <name val="Arial"/>
      <scheme val="minor"/>
    </font>
    <font>
      <b/>
      <sz val="12.0"/>
      <color theme="1"/>
      <name val="Arial"/>
      <scheme val="minor"/>
    </font>
    <font>
      <sz val="12.0"/>
      <color rgb="FF000000"/>
      <name val="Arial"/>
    </font>
    <font>
      <sz val="12.0"/>
      <color rgb="FF000000"/>
      <name val="Arimo"/>
    </font>
    <font>
      <sz val="12.0"/>
      <color rgb="FF1F1F1F"/>
      <name val="Arial"/>
      <scheme val="minor"/>
    </font>
    <font>
      <sz val="11.0"/>
      <color rgb="FF000000"/>
      <name val="Arial"/>
      <scheme val="minor"/>
    </font>
    <font>
      <b/>
      <u/>
      <sz val="12.0"/>
      <color theme="1"/>
      <name val="Arial"/>
      <scheme val="minor"/>
    </font>
    <font>
      <sz val="12.0"/>
      <color rgb="FF000000"/>
      <name val="Arial"/>
      <scheme val="minor"/>
    </font>
    <font>
      <sz val="12.0"/>
      <color rgb="FF0000FF"/>
      <name val="Arial"/>
      <scheme val="minor"/>
    </font>
    <font>
      <sz val="11.0"/>
      <color theme="1"/>
      <name val="Arial"/>
      <scheme val="minor"/>
    </font>
    <font>
      <sz val="12.0"/>
      <color rgb="FFFF00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2">
    <border/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3" xfId="0" applyAlignment="1" applyFont="1" applyNumberFormat="1">
      <alignment horizontal="left" readingOrder="0"/>
    </xf>
    <xf borderId="0" fillId="0" fontId="2" numFmtId="164" xfId="0" applyAlignment="1" applyFont="1" applyNumberFormat="1">
      <alignment horizontal="right" readingOrder="0"/>
    </xf>
    <xf borderId="1" fillId="0" fontId="2" numFmtId="0" xfId="0" applyAlignment="1" applyBorder="1" applyFont="1">
      <alignment horizontal="center" readingOrder="0"/>
    </xf>
    <xf borderId="1" fillId="0" fontId="4" numFmtId="0" xfId="0" applyBorder="1" applyFont="1"/>
    <xf borderId="2" fillId="0" fontId="4" numFmtId="0" xfId="0" applyBorder="1" applyFont="1"/>
    <xf borderId="2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3" fillId="0" fontId="2" numFmtId="3" xfId="0" applyAlignment="1" applyBorder="1" applyFont="1" applyNumberForma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/>
    </xf>
    <xf borderId="4" fillId="0" fontId="4" numFmtId="0" xfId="0" applyBorder="1" applyFont="1"/>
    <xf borderId="5" fillId="0" fontId="4" numFmtId="0" xfId="0" applyBorder="1" applyFont="1"/>
    <xf borderId="5" fillId="0" fontId="2" numFmtId="0" xfId="0" applyAlignment="1" applyBorder="1" applyFont="1">
      <alignment horizontal="center" readingOrder="0" shrinkToFit="0" vertical="center" wrapText="1"/>
    </xf>
    <xf borderId="4" fillId="0" fontId="2" numFmtId="164" xfId="0" applyAlignment="1" applyBorder="1" applyFont="1" applyNumberFormat="1">
      <alignment horizontal="center" readingOrder="0" shrinkToFit="0" vertical="center" wrapText="1"/>
    </xf>
    <xf borderId="6" fillId="0" fontId="2" numFmtId="3" xfId="0" applyAlignment="1" applyBorder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5" numFmtId="0" xfId="0" applyFont="1"/>
    <xf borderId="7" fillId="0" fontId="6" numFmtId="0" xfId="0" applyAlignment="1" applyBorder="1" applyFont="1">
      <alignment horizontal="center" readingOrder="0"/>
    </xf>
    <xf borderId="8" fillId="0" fontId="6" numFmtId="0" xfId="0" applyAlignment="1" applyBorder="1" applyFont="1">
      <alignment horizontal="center" readingOrder="0"/>
    </xf>
    <xf borderId="7" fillId="0" fontId="6" numFmtId="165" xfId="0" applyAlignment="1" applyBorder="1" applyFont="1" applyNumberFormat="1">
      <alignment readingOrder="0"/>
    </xf>
    <xf borderId="3" fillId="0" fontId="6" numFmtId="164" xfId="0" applyAlignment="1" applyBorder="1" applyFont="1" applyNumberFormat="1">
      <alignment horizontal="right" readingOrder="0"/>
    </xf>
    <xf borderId="8" fillId="0" fontId="6" numFmtId="3" xfId="0" applyAlignment="1" applyBorder="1" applyFont="1" applyNumberFormat="1">
      <alignment readingOrder="0"/>
    </xf>
    <xf borderId="9" fillId="0" fontId="6" numFmtId="164" xfId="0" applyAlignment="1" applyBorder="1" applyFont="1" applyNumberFormat="1">
      <alignment horizontal="right" readingOrder="0"/>
    </xf>
    <xf borderId="10" fillId="0" fontId="7" numFmtId="0" xfId="0" applyAlignment="1" applyBorder="1" applyFont="1">
      <alignment horizontal="center" readingOrder="0"/>
    </xf>
    <xf borderId="0" fillId="0" fontId="7" numFmtId="0" xfId="0" applyAlignment="1" applyFont="1">
      <alignment readingOrder="0"/>
    </xf>
    <xf borderId="7" fillId="0" fontId="7" numFmtId="165" xfId="0" applyAlignment="1" applyBorder="1" applyFont="1" applyNumberFormat="1">
      <alignment readingOrder="0"/>
    </xf>
    <xf borderId="0" fillId="0" fontId="7" numFmtId="164" xfId="0" applyAlignment="1" applyFont="1" applyNumberFormat="1">
      <alignment readingOrder="0"/>
    </xf>
    <xf borderId="8" fillId="0" fontId="7" numFmtId="3" xfId="0" applyBorder="1" applyFont="1" applyNumberFormat="1"/>
    <xf borderId="8" fillId="0" fontId="7" numFmtId="164" xfId="0" applyBorder="1" applyFont="1" applyNumberFormat="1"/>
    <xf borderId="10" fillId="2" fontId="7" numFmtId="0" xfId="0" applyAlignment="1" applyBorder="1" applyFill="1" applyFont="1">
      <alignment horizontal="center" readingOrder="0"/>
    </xf>
    <xf borderId="0" fillId="2" fontId="7" numFmtId="0" xfId="0" applyAlignment="1" applyFont="1">
      <alignment readingOrder="0"/>
    </xf>
    <xf borderId="7" fillId="2" fontId="7" numFmtId="3" xfId="0" applyAlignment="1" applyBorder="1" applyFont="1" applyNumberFormat="1">
      <alignment readingOrder="0"/>
    </xf>
    <xf borderId="7" fillId="2" fontId="7" numFmtId="164" xfId="0" applyAlignment="1" applyBorder="1" applyFont="1" applyNumberFormat="1">
      <alignment readingOrder="0"/>
    </xf>
    <xf borderId="8" fillId="2" fontId="7" numFmtId="3" xfId="0" applyAlignment="1" applyBorder="1" applyFont="1" applyNumberFormat="1">
      <alignment readingOrder="0"/>
    </xf>
    <xf borderId="8" fillId="2" fontId="7" numFmtId="164" xfId="0" applyAlignment="1" applyBorder="1" applyFont="1" applyNumberFormat="1">
      <alignment readingOrder="0"/>
    </xf>
    <xf borderId="10" fillId="0" fontId="7" numFmtId="0" xfId="0" applyAlignment="1" applyBorder="1" applyFont="1">
      <alignment horizontal="center"/>
    </xf>
    <xf borderId="10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7" fillId="0" fontId="2" numFmtId="165" xfId="0" applyAlignment="1" applyBorder="1" applyFont="1" applyNumberFormat="1">
      <alignment readingOrder="0"/>
    </xf>
    <xf borderId="7" fillId="0" fontId="2" numFmtId="164" xfId="0" applyAlignment="1" applyBorder="1" applyFont="1" applyNumberFormat="1">
      <alignment horizontal="right" readingOrder="0"/>
    </xf>
    <xf borderId="8" fillId="0" fontId="2" numFmtId="3" xfId="0" applyAlignment="1" applyBorder="1" applyFont="1" applyNumberFormat="1">
      <alignment readingOrder="0"/>
    </xf>
    <xf borderId="8" fillId="0" fontId="2" numFmtId="164" xfId="0" applyAlignment="1" applyBorder="1" applyFont="1" applyNumberFormat="1">
      <alignment readingOrder="0"/>
    </xf>
    <xf borderId="10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right" readingOrder="0"/>
    </xf>
    <xf borderId="8" fillId="0" fontId="2" numFmtId="3" xfId="0" applyAlignment="1" applyBorder="1" applyFont="1" applyNumberFormat="1">
      <alignment horizontal="right" readingOrder="0"/>
    </xf>
    <xf borderId="0" fillId="0" fontId="2" numFmtId="0" xfId="0" applyFont="1"/>
    <xf borderId="7" fillId="0" fontId="2" numFmtId="3" xfId="0" applyAlignment="1" applyBorder="1" applyFont="1" applyNumberFormat="1">
      <alignment horizontal="right" readingOrder="0"/>
    </xf>
    <xf borderId="0" fillId="0" fontId="2" numFmtId="164" xfId="0" applyAlignment="1" applyFont="1" applyNumberFormat="1">
      <alignment readingOrder="0"/>
    </xf>
    <xf borderId="7" fillId="0" fontId="7" numFmtId="0" xfId="0" applyBorder="1" applyFont="1"/>
    <xf borderId="0" fillId="0" fontId="7" numFmtId="164" xfId="0" applyFont="1" applyNumberFormat="1"/>
    <xf borderId="7" fillId="0" fontId="7" numFmtId="3" xfId="0" applyBorder="1" applyFont="1" applyNumberFormat="1"/>
    <xf borderId="0" fillId="2" fontId="7" numFmtId="164" xfId="0" applyFont="1" applyNumberFormat="1"/>
    <xf borderId="0" fillId="0" fontId="2" numFmtId="0" xfId="0" applyAlignment="1" applyFont="1">
      <alignment horizontal="center"/>
    </xf>
    <xf borderId="7" fillId="0" fontId="2" numFmtId="0" xfId="0" applyBorder="1" applyFont="1"/>
    <xf borderId="0" fillId="0" fontId="2" numFmtId="164" xfId="0" applyFont="1" applyNumberFormat="1"/>
    <xf borderId="7" fillId="0" fontId="2" numFmtId="3" xfId="0" applyBorder="1" applyFont="1" applyNumberFormat="1"/>
    <xf borderId="7" fillId="2" fontId="7" numFmtId="3" xfId="0" applyBorder="1" applyFont="1" applyNumberFormat="1"/>
    <xf borderId="0" fillId="0" fontId="2" numFmtId="3" xfId="0" applyFont="1" applyNumberFormat="1"/>
    <xf borderId="0" fillId="0" fontId="2" numFmtId="165" xfId="0" applyAlignment="1" applyFont="1" applyNumberFormat="1">
      <alignment readingOrder="0"/>
    </xf>
    <xf borderId="0" fillId="0" fontId="8" numFmtId="49" xfId="0" applyAlignment="1" applyFont="1" applyNumberFormat="1">
      <alignment horizontal="center" readingOrder="0"/>
    </xf>
    <xf borderId="0" fillId="0" fontId="2" numFmtId="0" xfId="0" applyAlignment="1" applyFont="1">
      <alignment horizontal="right" readingOrder="0"/>
    </xf>
    <xf borderId="1" fillId="0" fontId="2" numFmtId="49" xfId="0" applyAlignment="1" applyBorder="1" applyFont="1" applyNumberFormat="1">
      <alignment horizontal="center" readingOrder="0"/>
    </xf>
    <xf borderId="9" fillId="0" fontId="2" numFmtId="49" xfId="0" applyAlignment="1" applyBorder="1" applyFont="1" applyNumberFormat="1">
      <alignment horizontal="center" readingOrder="0"/>
    </xf>
    <xf borderId="3" fillId="0" fontId="2" numFmtId="3" xfId="0" applyAlignment="1" applyBorder="1" applyFont="1" applyNumberFormat="1">
      <alignment horizontal="center" readingOrder="0"/>
    </xf>
    <xf borderId="3" fillId="0" fontId="2" numFmtId="0" xfId="0" applyAlignment="1" applyBorder="1" applyFont="1">
      <alignment horizontal="center" readingOrder="0"/>
    </xf>
    <xf borderId="9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/>
    </xf>
    <xf borderId="11" fillId="0" fontId="2" numFmtId="49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7" fillId="0" fontId="2" numFmtId="3" xfId="0" applyAlignment="1" applyBorder="1" applyFont="1" applyNumberFormat="1">
      <alignment horizontal="center" readingOrder="0"/>
    </xf>
    <xf borderId="7" fillId="0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 readingOrder="0"/>
    </xf>
    <xf borderId="3" fillId="0" fontId="2" numFmtId="49" xfId="0" applyAlignment="1" applyBorder="1" applyFont="1" applyNumberFormat="1">
      <alignment horizontal="center"/>
    </xf>
    <xf borderId="1" fillId="0" fontId="2" numFmtId="49" xfId="0" applyAlignment="1" applyBorder="1" applyFont="1" applyNumberFormat="1">
      <alignment horizontal="center"/>
    </xf>
    <xf borderId="10" fillId="0" fontId="2" numFmtId="49" xfId="0" applyAlignment="1" applyBorder="1" applyFont="1" applyNumberFormat="1">
      <alignment horizontal="center"/>
    </xf>
    <xf borderId="1" fillId="0" fontId="6" numFmtId="0" xfId="0" applyAlignment="1" applyBorder="1" applyFont="1">
      <alignment horizontal="center" readingOrder="0" shrinkToFit="0" wrapText="1"/>
    </xf>
    <xf borderId="3" fillId="0" fontId="6" numFmtId="3" xfId="0" applyAlignment="1" applyBorder="1" applyFont="1" applyNumberFormat="1">
      <alignment readingOrder="0"/>
    </xf>
    <xf borderId="3" fillId="0" fontId="6" numFmtId="165" xfId="0" applyAlignment="1" applyBorder="1" applyFont="1" applyNumberFormat="1">
      <alignment readingOrder="0"/>
    </xf>
    <xf borderId="9" fillId="0" fontId="6" numFmtId="165" xfId="0" applyAlignment="1" applyBorder="1" applyFont="1" applyNumberFormat="1">
      <alignment readingOrder="0"/>
    </xf>
    <xf borderId="0" fillId="0" fontId="6" numFmtId="165" xfId="0" applyAlignment="1" applyFont="1" applyNumberFormat="1">
      <alignment readingOrder="0"/>
    </xf>
    <xf borderId="7" fillId="0" fontId="2" numFmtId="49" xfId="0" applyAlignment="1" applyBorder="1" applyFont="1" applyNumberFormat="1">
      <alignment horizontal="center"/>
    </xf>
    <xf borderId="0" fillId="0" fontId="2" numFmtId="49" xfId="0" applyAlignment="1" applyFont="1" applyNumberFormat="1">
      <alignment horizontal="center"/>
    </xf>
    <xf borderId="0" fillId="0" fontId="6" numFmtId="0" xfId="0" applyAlignment="1" applyFont="1">
      <alignment horizontal="center" readingOrder="0" shrinkToFit="0" wrapText="1"/>
    </xf>
    <xf borderId="7" fillId="0" fontId="6" numFmtId="3" xfId="0" applyAlignment="1" applyBorder="1" applyFont="1" applyNumberFormat="1">
      <alignment readingOrder="0"/>
    </xf>
    <xf borderId="8" fillId="0" fontId="6" numFmtId="165" xfId="0" applyAlignment="1" applyBorder="1" applyFont="1" applyNumberFormat="1">
      <alignment readingOrder="0"/>
    </xf>
    <xf borderId="8" fillId="0" fontId="2" numFmtId="0" xfId="0" applyBorder="1" applyFont="1"/>
    <xf borderId="0" fillId="2" fontId="7" numFmtId="49" xfId="0" applyAlignment="1" applyFont="1" applyNumberFormat="1">
      <alignment horizontal="center" readingOrder="0"/>
    </xf>
    <xf borderId="7" fillId="2" fontId="7" numFmtId="49" xfId="0" applyAlignment="1" applyBorder="1" applyFont="1" applyNumberFormat="1">
      <alignment horizontal="center" readingOrder="0"/>
    </xf>
    <xf borderId="10" fillId="2" fontId="7" numFmtId="49" xfId="0" applyAlignment="1" applyBorder="1" applyFont="1" applyNumberFormat="1">
      <alignment horizontal="center" readingOrder="0"/>
    </xf>
    <xf borderId="0" fillId="2" fontId="7" numFmtId="0" xfId="0" applyAlignment="1" applyFont="1">
      <alignment readingOrder="0" shrinkToFit="0" wrapText="1"/>
    </xf>
    <xf borderId="7" fillId="2" fontId="7" numFmtId="164" xfId="0" applyAlignment="1" applyBorder="1" applyFont="1" applyNumberFormat="1">
      <alignment horizontal="right" readingOrder="0"/>
    </xf>
    <xf borderId="7" fillId="2" fontId="7" numFmtId="165" xfId="0" applyAlignment="1" applyBorder="1" applyFont="1" applyNumberFormat="1">
      <alignment readingOrder="0"/>
    </xf>
    <xf borderId="8" fillId="2" fontId="7" numFmtId="0" xfId="0" applyBorder="1" applyFont="1"/>
    <xf borderId="0" fillId="2" fontId="7" numFmtId="0" xfId="0" applyFont="1"/>
    <xf borderId="7" fillId="0" fontId="2" numFmtId="49" xfId="0" applyAlignment="1" applyBorder="1" applyFont="1" applyNumberFormat="1">
      <alignment horizontal="center" readingOrder="0"/>
    </xf>
    <xf borderId="0" fillId="0" fontId="2" numFmtId="0" xfId="0" applyAlignment="1" applyFont="1">
      <alignment readingOrder="0" shrinkToFit="0" wrapText="1"/>
    </xf>
    <xf borderId="7" fillId="0" fontId="7" numFmtId="3" xfId="0" applyAlignment="1" applyBorder="1" applyFont="1" applyNumberFormat="1">
      <alignment readingOrder="0"/>
    </xf>
    <xf borderId="10" fillId="0" fontId="2" numFmtId="0" xfId="0" applyBorder="1" applyFont="1"/>
    <xf borderId="7" fillId="0" fontId="2" numFmtId="165" xfId="0" applyAlignment="1" applyBorder="1" applyFont="1" applyNumberFormat="1">
      <alignment horizontal="right" readingOrder="0"/>
    </xf>
    <xf borderId="0" fillId="3" fontId="2" numFmtId="49" xfId="0" applyAlignment="1" applyFill="1" applyFont="1" applyNumberFormat="1">
      <alignment horizontal="center"/>
    </xf>
    <xf borderId="7" fillId="3" fontId="7" numFmtId="49" xfId="0" applyAlignment="1" applyBorder="1" applyFont="1" applyNumberFormat="1">
      <alignment horizontal="center" readingOrder="0"/>
    </xf>
    <xf borderId="0" fillId="3" fontId="7" numFmtId="49" xfId="0" applyAlignment="1" applyFont="1" applyNumberFormat="1">
      <alignment horizontal="center" readingOrder="0"/>
    </xf>
    <xf borderId="10" fillId="3" fontId="7" numFmtId="49" xfId="0" applyAlignment="1" applyBorder="1" applyFont="1" applyNumberFormat="1">
      <alignment horizontal="center" readingOrder="0"/>
    </xf>
    <xf borderId="0" fillId="3" fontId="7" numFmtId="0" xfId="0" applyAlignment="1" applyFont="1">
      <alignment readingOrder="0" shrinkToFit="0" wrapText="1"/>
    </xf>
    <xf borderId="7" fillId="3" fontId="7" numFmtId="3" xfId="0" applyAlignment="1" applyBorder="1" applyFont="1" applyNumberFormat="1">
      <alignment readingOrder="0"/>
    </xf>
    <xf borderId="7" fillId="3" fontId="7" numFmtId="164" xfId="0" applyAlignment="1" applyBorder="1" applyFont="1" applyNumberFormat="1">
      <alignment horizontal="right" readingOrder="0"/>
    </xf>
    <xf borderId="7" fillId="3" fontId="7" numFmtId="165" xfId="0" applyAlignment="1" applyBorder="1" applyFont="1" applyNumberFormat="1">
      <alignment horizontal="right" readingOrder="0"/>
    </xf>
    <xf borderId="8" fillId="3" fontId="7" numFmtId="164" xfId="0" applyAlignment="1" applyBorder="1" applyFont="1" applyNumberFormat="1">
      <alignment horizontal="right" readingOrder="0"/>
    </xf>
    <xf borderId="8" fillId="3" fontId="7" numFmtId="0" xfId="0" applyBorder="1" applyFont="1"/>
    <xf borderId="0" fillId="3" fontId="7" numFmtId="0" xfId="0" applyFont="1"/>
    <xf borderId="10" fillId="0" fontId="2" numFmtId="49" xfId="0" applyAlignment="1" applyBorder="1" applyFont="1" applyNumberFormat="1">
      <alignment horizontal="center" readingOrder="0"/>
    </xf>
    <xf borderId="7" fillId="0" fontId="2" numFmtId="3" xfId="0" applyAlignment="1" applyBorder="1" applyFont="1" applyNumberFormat="1">
      <alignment readingOrder="0"/>
    </xf>
    <xf borderId="7" fillId="0" fontId="2" numFmtId="49" xfId="0" applyAlignment="1" applyBorder="1" applyFont="1" applyNumberFormat="1">
      <alignment horizontal="center" vertical="top"/>
    </xf>
    <xf borderId="0" fillId="0" fontId="2" numFmtId="49" xfId="0" applyAlignment="1" applyFont="1" applyNumberFormat="1">
      <alignment horizontal="center" readingOrder="0" vertical="top"/>
    </xf>
    <xf borderId="7" fillId="0" fontId="2" numFmtId="49" xfId="0" applyAlignment="1" applyBorder="1" applyFont="1" applyNumberFormat="1">
      <alignment horizontal="center" readingOrder="0" vertical="top"/>
    </xf>
    <xf borderId="10" fillId="0" fontId="2" numFmtId="49" xfId="0" applyAlignment="1" applyBorder="1" applyFont="1" applyNumberFormat="1">
      <alignment horizontal="center" readingOrder="0" vertical="top"/>
    </xf>
    <xf borderId="0" fillId="0" fontId="2" numFmtId="0" xfId="0" applyAlignment="1" applyFont="1">
      <alignment readingOrder="0" shrinkToFit="0" vertical="top" wrapText="1"/>
    </xf>
    <xf borderId="8" fillId="0" fontId="2" numFmtId="164" xfId="0" applyAlignment="1" applyBorder="1" applyFont="1" applyNumberFormat="1">
      <alignment horizontal="right" readingOrder="0"/>
    </xf>
    <xf borderId="8" fillId="0" fontId="9" numFmtId="3" xfId="0" applyAlignment="1" applyBorder="1" applyFont="1" applyNumberFormat="1">
      <alignment vertical="center"/>
    </xf>
    <xf borderId="0" fillId="0" fontId="2" numFmtId="3" xfId="0" applyFont="1" applyNumberFormat="1"/>
    <xf borderId="7" fillId="0" fontId="5" numFmtId="3" xfId="0" applyBorder="1" applyFont="1" applyNumberFormat="1"/>
    <xf borderId="10" fillId="0" fontId="2" numFmtId="9" xfId="0" applyAlignment="1" applyBorder="1" applyFont="1" applyNumberFormat="1">
      <alignment readingOrder="0"/>
    </xf>
    <xf borderId="0" fillId="0" fontId="2" numFmtId="0" xfId="0" applyAlignment="1" applyFont="1">
      <alignment shrinkToFit="0" vertical="top" wrapText="1"/>
    </xf>
    <xf borderId="7" fillId="0" fontId="5" numFmtId="3" xfId="0" applyAlignment="1" applyBorder="1" applyFont="1" applyNumberFormat="1">
      <alignment readingOrder="0"/>
    </xf>
    <xf borderId="8" fillId="0" fontId="10" numFmtId="3" xfId="0" applyAlignment="1" applyBorder="1" applyFont="1" applyNumberFormat="1">
      <alignment readingOrder="0" vertical="center"/>
    </xf>
    <xf borderId="7" fillId="3" fontId="7" numFmtId="3" xfId="0" applyAlignment="1" applyBorder="1" applyFont="1" applyNumberFormat="1">
      <alignment horizontal="right" readingOrder="0" vertical="bottom"/>
    </xf>
    <xf borderId="7" fillId="3" fontId="7" numFmtId="3" xfId="0" applyAlignment="1" applyBorder="1" applyFont="1" applyNumberFormat="1">
      <alignment horizontal="right" readingOrder="0"/>
    </xf>
    <xf borderId="8" fillId="3" fontId="7" numFmtId="0" xfId="0" applyAlignment="1" applyBorder="1" applyFont="1">
      <alignment readingOrder="0"/>
    </xf>
    <xf borderId="0" fillId="3" fontId="7" numFmtId="0" xfId="0" applyAlignment="1" applyFont="1">
      <alignment readingOrder="0"/>
    </xf>
    <xf borderId="8" fillId="0" fontId="2" numFmtId="3" xfId="0" applyBorder="1" applyFont="1" applyNumberFormat="1"/>
    <xf borderId="0" fillId="3" fontId="7" numFmtId="49" xfId="0" applyAlignment="1" applyFont="1" applyNumberFormat="1">
      <alignment horizontal="center"/>
    </xf>
    <xf borderId="8" fillId="0" fontId="2" numFmtId="0" xfId="0" applyAlignment="1" applyBorder="1" applyFont="1">
      <alignment readingOrder="0"/>
    </xf>
    <xf borderId="0" fillId="0" fontId="2" numFmtId="165" xfId="0" applyFont="1" applyNumberFormat="1"/>
    <xf borderId="7" fillId="0" fontId="7" numFmtId="3" xfId="0" applyAlignment="1" applyBorder="1" applyFont="1" applyNumberFormat="1">
      <alignment horizontal="right" readingOrder="0"/>
    </xf>
    <xf borderId="0" fillId="4" fontId="2" numFmtId="49" xfId="0" applyAlignment="1" applyFill="1" applyFont="1" applyNumberFormat="1">
      <alignment horizontal="center"/>
    </xf>
    <xf borderId="7" fillId="4" fontId="2" numFmtId="49" xfId="0" applyAlignment="1" applyBorder="1" applyFont="1" applyNumberFormat="1">
      <alignment horizontal="center" readingOrder="0"/>
    </xf>
    <xf borderId="0" fillId="4" fontId="2" numFmtId="49" xfId="0" applyAlignment="1" applyFont="1" applyNumberFormat="1">
      <alignment horizontal="center" readingOrder="0"/>
    </xf>
    <xf borderId="10" fillId="4" fontId="2" numFmtId="49" xfId="0" applyAlignment="1" applyBorder="1" applyFont="1" applyNumberFormat="1">
      <alignment horizontal="center" readingOrder="0"/>
    </xf>
    <xf borderId="0" fillId="4" fontId="2" numFmtId="0" xfId="0" applyAlignment="1" applyFont="1">
      <alignment readingOrder="0" shrinkToFit="0" wrapText="1"/>
    </xf>
    <xf borderId="7" fillId="4" fontId="2" numFmtId="3" xfId="0" applyAlignment="1" applyBorder="1" applyFont="1" applyNumberFormat="1">
      <alignment horizontal="right" readingOrder="0"/>
    </xf>
    <xf borderId="10" fillId="4" fontId="2" numFmtId="9" xfId="0" applyAlignment="1" applyBorder="1" applyFont="1" applyNumberFormat="1">
      <alignment readingOrder="0"/>
    </xf>
    <xf borderId="7" fillId="4" fontId="2" numFmtId="165" xfId="0" applyAlignment="1" applyBorder="1" applyFont="1" applyNumberFormat="1">
      <alignment horizontal="right" readingOrder="0"/>
    </xf>
    <xf borderId="0" fillId="4" fontId="2" numFmtId="164" xfId="0" applyFont="1" applyNumberFormat="1"/>
    <xf borderId="8" fillId="4" fontId="2" numFmtId="0" xfId="0" applyBorder="1" applyFont="1"/>
    <xf borderId="0" fillId="4" fontId="2" numFmtId="0" xfId="0" applyFont="1"/>
    <xf borderId="0" fillId="0" fontId="2" numFmtId="10" xfId="0" applyFont="1" applyNumberFormat="1"/>
    <xf borderId="0" fillId="0" fontId="11" numFmtId="0" xfId="0" applyAlignment="1" applyFont="1">
      <alignment horizontal="left" shrinkToFit="0" wrapText="1"/>
    </xf>
    <xf borderId="10" fillId="0" fontId="12" numFmtId="0" xfId="0" applyAlignment="1" applyBorder="1" applyFont="1">
      <alignment shrinkToFit="0" vertical="bottom" wrapText="1"/>
    </xf>
    <xf borderId="7" fillId="0" fontId="2" numFmtId="165" xfId="0" applyAlignment="1" applyBorder="1" applyFont="1" applyNumberFormat="1">
      <alignment horizontal="right"/>
    </xf>
    <xf borderId="0" fillId="0" fontId="2" numFmtId="0" xfId="0" applyAlignment="1" applyFont="1">
      <alignment shrinkToFit="0" wrapText="1"/>
    </xf>
    <xf borderId="7" fillId="0" fontId="2" numFmtId="3" xfId="0" applyAlignment="1" applyBorder="1" applyFont="1" applyNumberFormat="1">
      <alignment horizontal="right"/>
    </xf>
    <xf borderId="10" fillId="0" fontId="2" numFmtId="164" xfId="0" applyBorder="1" applyFont="1" applyNumberFormat="1"/>
    <xf borderId="7" fillId="4" fontId="2" numFmtId="49" xfId="0" applyAlignment="1" applyBorder="1" applyFont="1" applyNumberFormat="1">
      <alignment horizontal="center"/>
    </xf>
    <xf borderId="10" fillId="4" fontId="2" numFmtId="49" xfId="0" applyAlignment="1" applyBorder="1" applyFont="1" applyNumberFormat="1">
      <alignment horizontal="center"/>
    </xf>
    <xf borderId="0" fillId="4" fontId="2" numFmtId="0" xfId="0" applyAlignment="1" applyFont="1">
      <alignment shrinkToFit="0" wrapText="1"/>
    </xf>
    <xf borderId="7" fillId="4" fontId="2" numFmtId="3" xfId="0" applyAlignment="1" applyBorder="1" applyFont="1" applyNumberFormat="1">
      <alignment horizontal="right"/>
    </xf>
    <xf borderId="10" fillId="4" fontId="2" numFmtId="164" xfId="0" applyAlignment="1" applyBorder="1" applyFont="1" applyNumberFormat="1">
      <alignment readingOrder="0"/>
    </xf>
    <xf borderId="7" fillId="4" fontId="2" numFmtId="165" xfId="0" applyAlignment="1" applyBorder="1" applyFont="1" applyNumberFormat="1">
      <alignment horizontal="right"/>
    </xf>
    <xf borderId="10" fillId="0" fontId="2" numFmtId="164" xfId="0" applyAlignment="1" applyBorder="1" applyFont="1" applyNumberFormat="1">
      <alignment readingOrder="0"/>
    </xf>
    <xf borderId="7" fillId="0" fontId="13" numFmtId="0" xfId="0" applyAlignment="1" applyBorder="1" applyFont="1">
      <alignment readingOrder="0" shrinkToFit="0" vertical="bottom" wrapText="1"/>
    </xf>
    <xf borderId="7" fillId="0" fontId="3" numFmtId="0" xfId="0" applyAlignment="1" applyBorder="1" applyFont="1">
      <alignment shrinkToFit="0" vertical="bottom" wrapText="1"/>
    </xf>
    <xf borderId="0" fillId="3" fontId="7" numFmtId="164" xfId="0" applyFont="1" applyNumberFormat="1"/>
    <xf borderId="7" fillId="3" fontId="7" numFmtId="49" xfId="0" applyAlignment="1" applyBorder="1" applyFont="1" applyNumberFormat="1">
      <alignment horizontal="center"/>
    </xf>
    <xf borderId="10" fillId="3" fontId="7" numFmtId="49" xfId="0" applyAlignment="1" applyBorder="1" applyFont="1" applyNumberFormat="1">
      <alignment horizontal="center"/>
    </xf>
    <xf borderId="0" fillId="3" fontId="7" numFmtId="0" xfId="0" applyAlignment="1" applyFont="1">
      <alignment shrinkToFit="0" wrapText="1"/>
    </xf>
    <xf borderId="7" fillId="3" fontId="7" numFmtId="3" xfId="0" applyAlignment="1" applyBorder="1" applyFont="1" applyNumberFormat="1">
      <alignment horizontal="right"/>
    </xf>
    <xf borderId="10" fillId="3" fontId="7" numFmtId="164" xfId="0" applyAlignment="1" applyBorder="1" applyFont="1" applyNumberFormat="1">
      <alignment readingOrder="0"/>
    </xf>
    <xf borderId="7" fillId="3" fontId="7" numFmtId="165" xfId="0" applyAlignment="1" applyBorder="1" applyFont="1" applyNumberFormat="1">
      <alignment horizontal="right"/>
    </xf>
    <xf borderId="7" fillId="0" fontId="2" numFmtId="3" xfId="0" applyAlignment="1" applyBorder="1" applyFont="1" applyNumberFormat="1">
      <alignment horizontal="right" readingOrder="0" vertical="bottom"/>
    </xf>
    <xf borderId="7" fillId="3" fontId="2" numFmtId="49" xfId="0" applyAlignment="1" applyBorder="1" applyFont="1" applyNumberFormat="1">
      <alignment horizontal="center"/>
    </xf>
    <xf borderId="10" fillId="3" fontId="2" numFmtId="49" xfId="0" applyAlignment="1" applyBorder="1" applyFont="1" applyNumberFormat="1">
      <alignment horizontal="center"/>
    </xf>
    <xf borderId="0" fillId="3" fontId="2" numFmtId="0" xfId="0" applyAlignment="1" applyFont="1">
      <alignment shrinkToFit="0" wrapText="1"/>
    </xf>
    <xf borderId="7" fillId="3" fontId="2" numFmtId="3" xfId="0" applyAlignment="1" applyBorder="1" applyFont="1" applyNumberFormat="1">
      <alignment horizontal="right"/>
    </xf>
    <xf borderId="10" fillId="3" fontId="2" numFmtId="164" xfId="0" applyBorder="1" applyFont="1" applyNumberFormat="1"/>
    <xf borderId="7" fillId="3" fontId="2" numFmtId="165" xfId="0" applyAlignment="1" applyBorder="1" applyFont="1" applyNumberFormat="1">
      <alignment horizontal="right"/>
    </xf>
    <xf borderId="0" fillId="3" fontId="2" numFmtId="164" xfId="0" applyFont="1" applyNumberFormat="1"/>
    <xf borderId="8" fillId="3" fontId="2" numFmtId="0" xfId="0" applyBorder="1" applyFont="1"/>
    <xf borderId="0" fillId="3" fontId="2" numFmtId="0" xfId="0" applyFont="1"/>
    <xf borderId="0" fillId="0" fontId="14" numFmtId="165" xfId="0" applyFont="1" applyNumberFormat="1"/>
    <xf borderId="0" fillId="0" fontId="2" numFmtId="49" xfId="0" applyAlignment="1" applyFont="1" applyNumberFormat="1">
      <alignment horizontal="center" vertical="bottom"/>
    </xf>
    <xf borderId="10" fillId="0" fontId="2" numFmtId="49" xfId="0" applyAlignment="1" applyBorder="1" applyFont="1" applyNumberFormat="1">
      <alignment horizontal="center" vertical="bottom"/>
    </xf>
    <xf borderId="10" fillId="0" fontId="5" numFmtId="49" xfId="0" applyAlignment="1" applyBorder="1" applyFont="1" applyNumberFormat="1">
      <alignment vertical="bottom"/>
    </xf>
    <xf borderId="0" fillId="0" fontId="2" numFmtId="0" xfId="0" applyAlignment="1" applyFont="1">
      <alignment shrinkToFit="0" vertical="bottom" wrapText="1"/>
    </xf>
    <xf borderId="10" fillId="0" fontId="15" numFmtId="49" xfId="0" applyAlignment="1" applyBorder="1" applyFont="1" applyNumberFormat="1">
      <alignment horizontal="center" vertical="bottom"/>
    </xf>
    <xf borderId="10" fillId="0" fontId="14" numFmtId="49" xfId="0" applyAlignment="1" applyBorder="1" applyFont="1" applyNumberFormat="1">
      <alignment vertical="bottom"/>
    </xf>
    <xf borderId="10" fillId="0" fontId="15" numFmtId="0" xfId="0" applyAlignment="1" applyBorder="1" applyFont="1">
      <alignment shrinkToFit="0" vertical="bottom" wrapText="1"/>
    </xf>
    <xf borderId="10" fillId="0" fontId="15" numFmtId="49" xfId="0" applyAlignment="1" applyBorder="1" applyFont="1" applyNumberFormat="1">
      <alignment vertical="bottom"/>
    </xf>
    <xf borderId="10" fillId="0" fontId="15" numFmtId="165" xfId="0" applyAlignment="1" applyBorder="1" applyFont="1" applyNumberFormat="1">
      <alignment readingOrder="0" shrinkToFit="0" vertical="bottom" wrapText="1"/>
    </xf>
    <xf borderId="10" fillId="0" fontId="15" numFmtId="0" xfId="0" applyAlignment="1" applyBorder="1" applyFont="1">
      <alignment readingOrder="0" shrinkToFit="0" vertical="bottom" wrapText="1"/>
    </xf>
    <xf borderId="10" fillId="0" fontId="15" numFmtId="49" xfId="0" applyAlignment="1" applyBorder="1" applyFont="1" applyNumberFormat="1">
      <alignment readingOrder="0" vertical="bottom"/>
    </xf>
    <xf borderId="7" fillId="0" fontId="2" numFmtId="49" xfId="0" applyAlignment="1" applyBorder="1" applyFont="1" applyNumberFormat="1">
      <alignment horizontal="center" vertical="bottom"/>
    </xf>
    <xf borderId="10" fillId="0" fontId="15" numFmtId="49" xfId="0" applyAlignment="1" applyBorder="1" applyFont="1" applyNumberFormat="1">
      <alignment horizontal="center" readingOrder="0" vertical="bottom"/>
    </xf>
    <xf borderId="7" fillId="2" fontId="7" numFmtId="3" xfId="0" applyAlignment="1" applyBorder="1" applyFont="1" applyNumberFormat="1">
      <alignment horizontal="right" readingOrder="0"/>
    </xf>
    <xf borderId="7" fillId="2" fontId="7" numFmtId="165" xfId="0" applyAlignment="1" applyBorder="1" applyFont="1" applyNumberFormat="1">
      <alignment horizontal="right" readingOrder="0"/>
    </xf>
    <xf borderId="8" fillId="2" fontId="7" numFmtId="164" xfId="0" applyAlignment="1" applyBorder="1" applyFont="1" applyNumberFormat="1">
      <alignment horizontal="right" readingOrder="0"/>
    </xf>
    <xf borderId="0" fillId="0" fontId="7" numFmtId="49" xfId="0" applyAlignment="1" applyFont="1" applyNumberFormat="1">
      <alignment horizontal="center"/>
    </xf>
    <xf borderId="7" fillId="0" fontId="7" numFmtId="49" xfId="0" applyAlignment="1" applyBorder="1" applyFont="1" applyNumberFormat="1">
      <alignment horizontal="center" readingOrder="0"/>
    </xf>
    <xf borderId="0" fillId="0" fontId="7" numFmtId="49" xfId="0" applyAlignment="1" applyFont="1" applyNumberFormat="1">
      <alignment horizontal="center" readingOrder="0"/>
    </xf>
    <xf borderId="10" fillId="0" fontId="7" numFmtId="49" xfId="0" applyAlignment="1" applyBorder="1" applyFont="1" applyNumberFormat="1">
      <alignment horizontal="center" readingOrder="0"/>
    </xf>
    <xf borderId="0" fillId="0" fontId="7" numFmtId="0" xfId="0" applyAlignment="1" applyFont="1">
      <alignment readingOrder="0" shrinkToFit="0" wrapText="1"/>
    </xf>
    <xf borderId="7" fillId="0" fontId="7" numFmtId="165" xfId="0" applyAlignment="1" applyBorder="1" applyFont="1" applyNumberFormat="1">
      <alignment horizontal="right" readingOrder="0"/>
    </xf>
    <xf borderId="8" fillId="0" fontId="7" numFmtId="164" xfId="0" applyAlignment="1" applyBorder="1" applyFont="1" applyNumberFormat="1">
      <alignment horizontal="right" readingOrder="0"/>
    </xf>
    <xf borderId="8" fillId="0" fontId="7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7" fillId="0" fontId="7" numFmtId="164" xfId="0" applyAlignment="1" applyBorder="1" applyFont="1" applyNumberFormat="1">
      <alignment horizontal="right" readingOrder="0"/>
    </xf>
    <xf borderId="0" fillId="0" fontId="2" numFmtId="3" xfId="0" applyAlignment="1" applyFont="1" applyNumberFormat="1">
      <alignment horizontal="right" readingOrder="0"/>
    </xf>
    <xf borderId="0" fillId="0" fontId="14" numFmtId="164" xfId="0" applyFont="1" applyNumberFormat="1"/>
    <xf borderId="0" fillId="0" fontId="16" numFmtId="0" xfId="0" applyAlignment="1" applyFont="1">
      <alignment horizontal="center" readingOrder="0"/>
    </xf>
    <xf borderId="0" fillId="0" fontId="17" numFmtId="49" xfId="0" applyAlignment="1" applyFont="1" applyNumberFormat="1">
      <alignment horizontal="center" readingOrder="0"/>
    </xf>
    <xf borderId="0" fillId="0" fontId="15" numFmtId="0" xfId="0" applyAlignment="1" applyFon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0" xfId="0" applyAlignment="1" applyFont="1">
      <alignment horizontal="right" readingOrder="0"/>
    </xf>
    <xf borderId="0" fillId="0" fontId="15" numFmtId="49" xfId="0" applyAlignment="1" applyFont="1" applyNumberFormat="1">
      <alignment horizontal="center" readingOrder="0"/>
    </xf>
    <xf borderId="10" fillId="0" fontId="15" numFmtId="3" xfId="0" applyAlignment="1" applyBorder="1" applyFont="1" applyNumberFormat="1">
      <alignment horizontal="center" readingOrder="0"/>
    </xf>
    <xf borderId="10" fillId="0" fontId="15" numFmtId="0" xfId="0" applyAlignment="1" applyBorder="1" applyFont="1">
      <alignment horizontal="center" readingOrder="0"/>
    </xf>
    <xf borderId="10" fillId="0" fontId="15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10" fillId="0" fontId="15" numFmtId="49" xfId="0" applyAlignment="1" applyBorder="1" applyFont="1" applyNumberFormat="1">
      <alignment horizontal="center" readingOrder="0"/>
    </xf>
    <xf borderId="10" fillId="0" fontId="4" numFmtId="0" xfId="0" applyBorder="1" applyFont="1"/>
    <xf borderId="10" fillId="0" fontId="15" numFmtId="49" xfId="0" applyAlignment="1" applyBorder="1" applyFont="1" applyNumberFormat="1">
      <alignment horizontal="center"/>
    </xf>
    <xf borderId="10" fillId="0" fontId="18" numFmtId="0" xfId="0" applyAlignment="1" applyBorder="1" applyFont="1">
      <alignment horizontal="center" readingOrder="0"/>
    </xf>
    <xf borderId="10" fillId="0" fontId="18" numFmtId="3" xfId="0" applyAlignment="1" applyBorder="1" applyFont="1" applyNumberFormat="1">
      <alignment readingOrder="0"/>
    </xf>
    <xf borderId="10" fillId="0" fontId="18" numFmtId="164" xfId="0" applyAlignment="1" applyBorder="1" applyFont="1" applyNumberFormat="1">
      <alignment horizontal="right" readingOrder="0"/>
    </xf>
    <xf borderId="10" fillId="0" fontId="15" numFmtId="0" xfId="0" applyAlignment="1" applyBorder="1" applyFont="1">
      <alignment readingOrder="0"/>
    </xf>
    <xf borderId="0" fillId="0" fontId="19" numFmtId="0" xfId="0" applyAlignment="1" applyFont="1">
      <alignment readingOrder="0"/>
    </xf>
    <xf borderId="10" fillId="0" fontId="18" numFmtId="165" xfId="0" applyAlignment="1" applyBorder="1" applyFont="1" applyNumberFormat="1">
      <alignment readingOrder="0"/>
    </xf>
    <xf borderId="10" fillId="0" fontId="15" numFmtId="0" xfId="0" applyBorder="1" applyFont="1"/>
    <xf borderId="0" fillId="0" fontId="15" numFmtId="0" xfId="0" applyFont="1"/>
    <xf borderId="10" fillId="3" fontId="20" numFmtId="49" xfId="0" applyAlignment="1" applyBorder="1" applyFont="1" applyNumberFormat="1">
      <alignment horizontal="center" readingOrder="0"/>
    </xf>
    <xf borderId="10" fillId="3" fontId="20" numFmtId="0" xfId="0" applyAlignment="1" applyBorder="1" applyFont="1">
      <alignment readingOrder="0"/>
    </xf>
    <xf borderId="10" fillId="3" fontId="20" numFmtId="3" xfId="0" applyAlignment="1" applyBorder="1" applyFont="1" applyNumberFormat="1">
      <alignment readingOrder="0"/>
    </xf>
    <xf borderId="10" fillId="3" fontId="20" numFmtId="164" xfId="0" applyAlignment="1" applyBorder="1" applyFont="1" applyNumberFormat="1">
      <alignment horizontal="right" readingOrder="0"/>
    </xf>
    <xf borderId="10" fillId="3" fontId="15" numFmtId="0" xfId="0" applyAlignment="1" applyBorder="1" applyFont="1">
      <alignment readingOrder="0" shrinkToFit="0" wrapText="1"/>
    </xf>
    <xf borderId="0" fillId="3" fontId="20" numFmtId="0" xfId="0" applyFont="1"/>
    <xf borderId="10" fillId="0" fontId="15" numFmtId="3" xfId="0" applyAlignment="1" applyBorder="1" applyFont="1" applyNumberFormat="1">
      <alignment readingOrder="0"/>
    </xf>
    <xf borderId="10" fillId="3" fontId="14" numFmtId="49" xfId="0" applyAlignment="1" applyBorder="1" applyFont="1" applyNumberFormat="1">
      <alignment vertical="bottom"/>
    </xf>
    <xf borderId="10" fillId="3" fontId="20" numFmtId="49" xfId="0" applyAlignment="1" applyBorder="1" applyFont="1" applyNumberFormat="1">
      <alignment horizontal="center" vertical="bottom"/>
    </xf>
    <xf borderId="10" fillId="3" fontId="20" numFmtId="0" xfId="0" applyAlignment="1" applyBorder="1" applyFont="1">
      <alignment vertical="bottom"/>
    </xf>
    <xf borderId="10" fillId="3" fontId="20" numFmtId="3" xfId="0" applyAlignment="1" applyBorder="1" applyFont="1" applyNumberFormat="1">
      <alignment horizontal="right" vertical="bottom"/>
    </xf>
    <xf borderId="10" fillId="3" fontId="20" numFmtId="164" xfId="0" applyAlignment="1" applyBorder="1" applyFont="1" applyNumberFormat="1">
      <alignment horizontal="right" vertical="bottom"/>
    </xf>
    <xf borderId="10" fillId="3" fontId="14" numFmtId="0" xfId="0" applyAlignment="1" applyBorder="1" applyFont="1">
      <alignment vertical="bottom"/>
    </xf>
    <xf borderId="0" fillId="3" fontId="14" numFmtId="0" xfId="0" applyAlignment="1" applyFont="1">
      <alignment vertical="bottom"/>
    </xf>
    <xf borderId="10" fillId="0" fontId="14" numFmtId="49" xfId="0" applyAlignment="1" applyBorder="1" applyFont="1" applyNumberFormat="1">
      <alignment vertical="top"/>
    </xf>
    <xf borderId="10" fillId="0" fontId="15" numFmtId="49" xfId="0" applyAlignment="1" applyBorder="1" applyFont="1" applyNumberFormat="1">
      <alignment horizontal="center" vertical="top"/>
    </xf>
    <xf borderId="10" fillId="0" fontId="15" numFmtId="0" xfId="0" applyAlignment="1" applyBorder="1" applyFont="1">
      <alignment vertical="top"/>
    </xf>
    <xf borderId="10" fillId="0" fontId="15" numFmtId="3" xfId="0" applyAlignment="1" applyBorder="1" applyFont="1" applyNumberFormat="1">
      <alignment horizontal="right" vertical="top"/>
    </xf>
    <xf borderId="10" fillId="0" fontId="15" numFmtId="164" xfId="0" applyAlignment="1" applyBorder="1" applyFont="1" applyNumberFormat="1">
      <alignment horizontal="right" vertical="bottom"/>
    </xf>
    <xf borderId="10" fillId="0" fontId="14" numFmtId="0" xfId="0" applyAlignment="1" applyBorder="1" applyFont="1">
      <alignment vertical="bottom"/>
    </xf>
    <xf borderId="0" fillId="0" fontId="14" numFmtId="0" xfId="0" applyAlignment="1" applyFont="1">
      <alignment vertical="top"/>
    </xf>
    <xf borderId="0" fillId="0" fontId="21" numFmtId="3" xfId="0" applyAlignment="1" applyFont="1" applyNumberFormat="1">
      <alignment readingOrder="0"/>
    </xf>
    <xf borderId="10" fillId="0" fontId="15" numFmtId="3" xfId="0" applyAlignment="1" applyBorder="1" applyFont="1" applyNumberFormat="1">
      <alignment readingOrder="0" vertical="top"/>
    </xf>
    <xf borderId="10" fillId="0" fontId="15" numFmtId="164" xfId="0" applyAlignment="1" applyBorder="1" applyFont="1" applyNumberFormat="1">
      <alignment horizontal="right" readingOrder="0"/>
    </xf>
    <xf borderId="10" fillId="0" fontId="15" numFmtId="49" xfId="0" applyAlignment="1" applyBorder="1" applyFont="1" applyNumberFormat="1">
      <alignment horizontal="center" vertical="center"/>
    </xf>
    <xf borderId="10" fillId="0" fontId="15" numFmtId="49" xfId="0" applyAlignment="1" applyBorder="1" applyFont="1" applyNumberFormat="1">
      <alignment horizontal="center" readingOrder="0" vertical="center"/>
    </xf>
    <xf borderId="10" fillId="0" fontId="15" numFmtId="0" xfId="0" applyAlignment="1" applyBorder="1" applyFont="1">
      <alignment readingOrder="0" vertical="center"/>
    </xf>
    <xf borderId="10" fillId="0" fontId="15" numFmtId="3" xfId="0" applyAlignment="1" applyBorder="1" applyFont="1" applyNumberFormat="1">
      <alignment readingOrder="0" vertical="center"/>
    </xf>
    <xf borderId="10" fillId="0" fontId="15" numFmtId="164" xfId="0" applyAlignment="1" applyBorder="1" applyFont="1" applyNumberFormat="1">
      <alignment horizontal="right" readingOrder="0" vertical="center"/>
    </xf>
    <xf borderId="10" fillId="0" fontId="22" numFmtId="0" xfId="0" applyAlignment="1" applyBorder="1" applyFont="1">
      <alignment readingOrder="0" shrinkToFit="0" wrapText="1"/>
    </xf>
    <xf borderId="0" fillId="0" fontId="15" numFmtId="0" xfId="0" applyAlignment="1" applyFont="1">
      <alignment vertical="center"/>
    </xf>
    <xf borderId="0" fillId="0" fontId="15" numFmtId="0" xfId="0" applyAlignment="1" applyFont="1">
      <alignment readingOrder="0" vertical="center"/>
    </xf>
    <xf borderId="10" fillId="0" fontId="15" numFmtId="0" xfId="0" applyAlignment="1" applyBorder="1" applyFont="1">
      <alignment readingOrder="0" vertical="top"/>
    </xf>
    <xf borderId="10" fillId="0" fontId="15" numFmtId="3" xfId="0" applyAlignment="1" applyBorder="1" applyFont="1" applyNumberFormat="1">
      <alignment readingOrder="0" vertical="top"/>
    </xf>
    <xf borderId="0" fillId="0" fontId="22" numFmtId="0" xfId="0" applyAlignment="1" applyFont="1">
      <alignment readingOrder="0"/>
    </xf>
    <xf borderId="0" fillId="0" fontId="15" numFmtId="0" xfId="0" applyAlignment="1" applyFont="1">
      <alignment readingOrder="0"/>
    </xf>
    <xf borderId="10" fillId="0" fontId="15" numFmtId="3" xfId="0" applyAlignment="1" applyBorder="1" applyFont="1" applyNumberFormat="1">
      <alignment horizontal="right" readingOrder="0" vertical="top"/>
    </xf>
    <xf borderId="0" fillId="0" fontId="14" numFmtId="0" xfId="0" applyAlignment="1" applyFont="1">
      <alignment vertical="top"/>
    </xf>
    <xf borderId="10" fillId="0" fontId="15" numFmtId="3" xfId="0" applyAlignment="1" applyBorder="1" applyFont="1" applyNumberFormat="1">
      <alignment horizontal="right" readingOrder="0" vertical="bottom"/>
    </xf>
    <xf borderId="0" fillId="0" fontId="14" numFmtId="3" xfId="0" applyAlignment="1" applyFont="1" applyNumberFormat="1">
      <alignment readingOrder="0" vertical="top"/>
    </xf>
    <xf borderId="10" fillId="0" fontId="15" numFmtId="0" xfId="0" applyAlignment="1" applyBorder="1" applyFont="1">
      <alignment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10" fillId="3" fontId="20" numFmtId="3" xfId="0" applyAlignment="1" applyBorder="1" applyFont="1" applyNumberFormat="1">
      <alignment horizontal="right" readingOrder="0" vertical="bottom"/>
    </xf>
    <xf borderId="10" fillId="3" fontId="14" numFmtId="0" xfId="0" applyAlignment="1" applyBorder="1" applyFont="1">
      <alignment vertical="bottom"/>
    </xf>
    <xf borderId="10" fillId="0" fontId="15" numFmtId="0" xfId="0" applyAlignment="1" applyBorder="1" applyFont="1">
      <alignment vertical="bottom"/>
    </xf>
    <xf borderId="10" fillId="0" fontId="14" numFmtId="164" xfId="0" applyAlignment="1" applyBorder="1" applyFont="1" applyNumberFormat="1">
      <alignment vertical="bottom"/>
    </xf>
    <xf borderId="10" fillId="0" fontId="15" numFmtId="164" xfId="0" applyAlignment="1" applyBorder="1" applyFont="1" applyNumberFormat="1">
      <alignment vertical="bottom"/>
    </xf>
    <xf borderId="10" fillId="0" fontId="15" numFmtId="10" xfId="0" applyAlignment="1" applyBorder="1" applyFont="1" applyNumberFormat="1">
      <alignment horizontal="right" readingOrder="0" vertical="bottom"/>
    </xf>
    <xf borderId="0" fillId="0" fontId="14" numFmtId="0" xfId="0" applyAlignment="1" applyFont="1">
      <alignment vertical="bottom"/>
    </xf>
    <xf borderId="10" fillId="0" fontId="15" numFmtId="3" xfId="0" applyAlignment="1" applyBorder="1" applyFont="1" applyNumberFormat="1">
      <alignment horizontal="right" readingOrder="0"/>
    </xf>
    <xf borderId="10" fillId="0" fontId="15" numFmtId="3" xfId="0" applyAlignment="1" applyBorder="1" applyFont="1" applyNumberFormat="1">
      <alignment horizontal="right" vertical="bottom"/>
    </xf>
    <xf borderId="10" fillId="0" fontId="15" numFmtId="164" xfId="0" applyAlignment="1" applyBorder="1" applyFont="1" applyNumberFormat="1">
      <alignment horizontal="right" readingOrder="0" vertical="bottom"/>
    </xf>
    <xf borderId="10" fillId="0" fontId="23" numFmtId="0" xfId="0" applyAlignment="1" applyBorder="1" applyFont="1">
      <alignment readingOrder="0" vertical="bottom"/>
    </xf>
    <xf borderId="0" fillId="0" fontId="21" numFmtId="3" xfId="0" applyAlignment="1" applyFont="1" applyNumberFormat="1">
      <alignment horizontal="right" readingOrder="0" shrinkToFit="0" wrapText="1"/>
    </xf>
    <xf borderId="0" fillId="0" fontId="14" numFmtId="10" xfId="0" applyAlignment="1" applyFont="1" applyNumberFormat="1">
      <alignment vertical="bottom"/>
    </xf>
    <xf borderId="10" fillId="0" fontId="23" numFmtId="0" xfId="0" applyAlignment="1" applyBorder="1" applyFont="1">
      <alignment readingOrder="0" shrinkToFit="0" vertical="bottom" wrapText="1"/>
    </xf>
    <xf borderId="10" fillId="0" fontId="14" numFmtId="3" xfId="0" applyAlignment="1" applyBorder="1" applyFont="1" applyNumberFormat="1">
      <alignment vertical="bottom"/>
    </xf>
    <xf borderId="0" fillId="0" fontId="14" numFmtId="0" xfId="0" applyAlignment="1" applyFont="1">
      <alignment horizontal="left" shrinkToFit="0" vertical="top" wrapText="1"/>
    </xf>
    <xf borderId="10" fillId="0" fontId="23" numFmtId="0" xfId="0" applyAlignment="1" applyBorder="1" applyFont="1">
      <alignment vertical="bottom"/>
    </xf>
    <xf borderId="10" fillId="3" fontId="20" numFmtId="164" xfId="0" applyAlignment="1" applyBorder="1" applyFont="1" applyNumberFormat="1">
      <alignment horizontal="right" readingOrder="0" vertical="bottom"/>
    </xf>
    <xf borderId="0" fillId="3" fontId="14" numFmtId="0" xfId="0" applyAlignment="1" applyFont="1">
      <alignment vertical="bottom"/>
    </xf>
    <xf borderId="10" fillId="0" fontId="15" numFmtId="0" xfId="0" applyAlignment="1" applyBorder="1" applyFont="1">
      <alignment readingOrder="0" vertical="bottom"/>
    </xf>
    <xf borderId="10" fillId="0" fontId="15" numFmtId="9" xfId="0" applyAlignment="1" applyBorder="1" applyFont="1" applyNumberFormat="1">
      <alignment horizontal="right" readingOrder="0" vertical="bottom"/>
    </xf>
    <xf borderId="0" fillId="0" fontId="15" numFmtId="0" xfId="0" applyAlignment="1" applyFont="1">
      <alignment readingOrder="0"/>
    </xf>
    <xf borderId="10" fillId="0" fontId="15" numFmtId="165" xfId="0" applyAlignment="1" applyBorder="1" applyFont="1" applyNumberFormat="1">
      <alignment vertical="top"/>
    </xf>
    <xf borderId="10" fillId="0" fontId="15" numFmtId="10" xfId="0" applyAlignment="1" applyBorder="1" applyFont="1" applyNumberFormat="1">
      <alignment horizontal="right" vertical="bottom"/>
    </xf>
    <xf borderId="10" fillId="0" fontId="15" numFmtId="165" xfId="0" applyAlignment="1" applyBorder="1" applyFont="1" applyNumberFormat="1">
      <alignment vertical="bottom"/>
    </xf>
    <xf borderId="0" fillId="0" fontId="14" numFmtId="165" xfId="0" applyAlignment="1" applyFont="1" applyNumberFormat="1">
      <alignment vertical="bottom"/>
    </xf>
    <xf borderId="10" fillId="0" fontId="24" numFmtId="164" xfId="0" applyBorder="1" applyFont="1" applyNumberFormat="1"/>
    <xf borderId="10" fillId="0" fontId="15" numFmtId="0" xfId="0" applyAlignment="1" applyBorder="1" applyFont="1">
      <alignment shrinkToFit="0" vertical="bottom" wrapText="1"/>
    </xf>
    <xf borderId="10" fillId="0" fontId="15" numFmtId="165" xfId="0" applyAlignment="1" applyBorder="1" applyFont="1" applyNumberFormat="1">
      <alignment readingOrder="0" vertical="bottom"/>
    </xf>
    <xf borderId="10" fillId="0" fontId="14" numFmtId="165" xfId="0" applyAlignment="1" applyBorder="1" applyFont="1" applyNumberFormat="1">
      <alignment vertical="bottom"/>
    </xf>
    <xf borderId="0" fillId="0" fontId="14" numFmtId="164" xfId="0" applyAlignment="1" applyFont="1" applyNumberFormat="1">
      <alignment vertical="bottom"/>
    </xf>
    <xf borderId="10" fillId="0" fontId="14" numFmtId="0" xfId="0" applyAlignment="1" applyBorder="1" applyFont="1">
      <alignment vertical="bottom"/>
    </xf>
    <xf borderId="10" fillId="0" fontId="20" numFmtId="49" xfId="0" applyAlignment="1" applyBorder="1" applyFont="1" applyNumberFormat="1">
      <alignment horizontal="center" vertical="bottom"/>
    </xf>
    <xf borderId="10" fillId="0" fontId="20" numFmtId="0" xfId="0" applyAlignment="1" applyBorder="1" applyFont="1">
      <alignment vertical="bottom"/>
    </xf>
    <xf borderId="10" fillId="0" fontId="20" numFmtId="3" xfId="0" applyAlignment="1" applyBorder="1" applyFont="1" applyNumberFormat="1">
      <alignment horizontal="right" vertical="bottom"/>
    </xf>
    <xf borderId="10" fillId="0" fontId="20" numFmtId="164" xfId="0" applyAlignment="1" applyBorder="1" applyFont="1" applyNumberFormat="1">
      <alignment horizontal="right" vertical="bottom"/>
    </xf>
    <xf borderId="10" fillId="0" fontId="15" numFmtId="0" xfId="0" applyAlignment="1" applyBorder="1" applyFont="1">
      <alignment horizontal="right" readingOrder="0"/>
    </xf>
    <xf borderId="8" fillId="0" fontId="15" numFmtId="0" xfId="0" applyAlignment="1" applyBorder="1" applyFont="1">
      <alignment vertical="top"/>
    </xf>
    <xf borderId="0" fillId="0" fontId="25" numFmtId="49" xfId="0" applyAlignment="1" applyFont="1" applyNumberFormat="1">
      <alignment horizontal="center" readingOrder="0"/>
    </xf>
    <xf borderId="8" fillId="0" fontId="15" numFmtId="0" xfId="0" applyAlignment="1" applyBorder="1" applyFont="1">
      <alignment horizontal="right" readingOrder="0"/>
    </xf>
    <xf borderId="1" fillId="0" fontId="15" numFmtId="49" xfId="0" applyAlignment="1" applyBorder="1" applyFont="1" applyNumberFormat="1">
      <alignment horizontal="center" readingOrder="0"/>
    </xf>
    <xf borderId="9" fillId="0" fontId="15" numFmtId="49" xfId="0" applyAlignment="1" applyBorder="1" applyFont="1" applyNumberFormat="1">
      <alignment horizontal="center" readingOrder="0"/>
    </xf>
    <xf borderId="3" fillId="0" fontId="15" numFmtId="0" xfId="0" applyAlignment="1" applyBorder="1" applyFont="1">
      <alignment horizontal="center" readingOrder="0"/>
    </xf>
    <xf borderId="3" fillId="0" fontId="15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8" fillId="0" fontId="15" numFmtId="49" xfId="0" applyAlignment="1" applyBorder="1" applyFont="1" applyNumberFormat="1">
      <alignment horizontal="center" readingOrder="0"/>
    </xf>
    <xf borderId="7" fillId="0" fontId="15" numFmtId="49" xfId="0" applyAlignment="1" applyBorder="1" applyFont="1" applyNumberFormat="1">
      <alignment horizontal="center" readingOrder="0"/>
    </xf>
    <xf borderId="6" fillId="0" fontId="15" numFmtId="49" xfId="0" applyAlignment="1" applyBorder="1" applyFont="1" applyNumberFormat="1">
      <alignment horizontal="center" readingOrder="0"/>
    </xf>
    <xf borderId="7" fillId="0" fontId="15" numFmtId="0" xfId="0" applyAlignment="1" applyBorder="1" applyFont="1">
      <alignment horizontal="center" readingOrder="0"/>
    </xf>
    <xf borderId="7" fillId="0" fontId="4" numFmtId="0" xfId="0" applyBorder="1" applyFont="1"/>
    <xf borderId="3" fillId="0" fontId="15" numFmtId="49" xfId="0" applyAlignment="1" applyBorder="1" applyFont="1" applyNumberFormat="1">
      <alignment horizontal="center"/>
    </xf>
    <xf borderId="3" fillId="0" fontId="20" numFmtId="0" xfId="0" applyAlignment="1" applyBorder="1" applyFont="1">
      <alignment horizontal="center" readingOrder="0"/>
    </xf>
    <xf borderId="3" fillId="0" fontId="20" numFmtId="165" xfId="0" applyAlignment="1" applyBorder="1" applyFont="1" applyNumberFormat="1">
      <alignment readingOrder="0"/>
    </xf>
    <xf borderId="3" fillId="0" fontId="20" numFmtId="164" xfId="0" applyAlignment="1" applyBorder="1" applyFont="1" applyNumberFormat="1">
      <alignment horizontal="right" readingOrder="0"/>
    </xf>
    <xf borderId="3" fillId="0" fontId="15" numFmtId="0" xfId="0" applyAlignment="1" applyBorder="1" applyFont="1">
      <alignment readingOrder="0"/>
    </xf>
    <xf borderId="9" fillId="0" fontId="19" numFmtId="0" xfId="0" applyAlignment="1" applyBorder="1" applyFont="1">
      <alignment readingOrder="0"/>
    </xf>
    <xf borderId="7" fillId="0" fontId="15" numFmtId="49" xfId="0" applyAlignment="1" applyBorder="1" applyFont="1" applyNumberFormat="1">
      <alignment horizontal="center"/>
    </xf>
    <xf borderId="7" fillId="0" fontId="20" numFmtId="0" xfId="0" applyAlignment="1" applyBorder="1" applyFont="1">
      <alignment horizontal="center" readingOrder="0"/>
    </xf>
    <xf borderId="7" fillId="0" fontId="20" numFmtId="165" xfId="0" applyAlignment="1" applyBorder="1" applyFont="1" applyNumberFormat="1">
      <alignment readingOrder="0"/>
    </xf>
    <xf borderId="7" fillId="0" fontId="15" numFmtId="0" xfId="0" applyBorder="1" applyFont="1"/>
    <xf borderId="8" fillId="0" fontId="15" numFmtId="0" xfId="0" applyBorder="1" applyFont="1"/>
    <xf borderId="0" fillId="5" fontId="20" numFmtId="49" xfId="0" applyAlignment="1" applyFill="1" applyFont="1" applyNumberFormat="1">
      <alignment horizontal="center" readingOrder="0"/>
    </xf>
    <xf borderId="7" fillId="5" fontId="20" numFmtId="49" xfId="0" applyAlignment="1" applyBorder="1" applyFont="1" applyNumberFormat="1">
      <alignment horizontal="center" readingOrder="0"/>
    </xf>
    <xf borderId="10" fillId="5" fontId="20" numFmtId="49" xfId="0" applyAlignment="1" applyBorder="1" applyFont="1" applyNumberFormat="1">
      <alignment horizontal="center" readingOrder="0"/>
    </xf>
    <xf borderId="7" fillId="5" fontId="20" numFmtId="0" xfId="0" applyAlignment="1" applyBorder="1" applyFont="1">
      <alignment readingOrder="0"/>
    </xf>
    <xf borderId="7" fillId="5" fontId="20" numFmtId="165" xfId="0" applyAlignment="1" applyBorder="1" applyFont="1" applyNumberFormat="1">
      <alignment readingOrder="0"/>
    </xf>
    <xf borderId="7" fillId="5" fontId="20" numFmtId="164" xfId="0" applyAlignment="1" applyBorder="1" applyFont="1" applyNumberFormat="1">
      <alignment horizontal="right" readingOrder="0"/>
    </xf>
    <xf borderId="7" fillId="5" fontId="15" numFmtId="0" xfId="0" applyAlignment="1" applyBorder="1" applyFont="1">
      <alignment readingOrder="0" shrinkToFit="0" wrapText="1"/>
    </xf>
    <xf borderId="8" fillId="5" fontId="20" numFmtId="0" xfId="0" applyBorder="1" applyFont="1"/>
    <xf borderId="0" fillId="5" fontId="20" numFmtId="0" xfId="0" applyFont="1"/>
    <xf borderId="0" fillId="0" fontId="15" numFmtId="49" xfId="0" applyAlignment="1" applyFont="1" applyNumberFormat="1">
      <alignment horizontal="center"/>
    </xf>
    <xf borderId="7" fillId="0" fontId="15" numFmtId="0" xfId="0" applyAlignment="1" applyBorder="1" applyFont="1">
      <alignment readingOrder="0"/>
    </xf>
    <xf borderId="7" fillId="0" fontId="15" numFmtId="165" xfId="0" applyAlignment="1" applyBorder="1" applyFont="1" applyNumberFormat="1">
      <alignment readingOrder="0"/>
    </xf>
    <xf borderId="0" fillId="6" fontId="20" numFmtId="49" xfId="0" applyAlignment="1" applyFill="1" applyFont="1" applyNumberFormat="1">
      <alignment horizontal="center"/>
    </xf>
    <xf borderId="7" fillId="6" fontId="20" numFmtId="49" xfId="0" applyAlignment="1" applyBorder="1" applyFont="1" applyNumberFormat="1">
      <alignment horizontal="center" readingOrder="0"/>
    </xf>
    <xf borderId="10" fillId="6" fontId="20" numFmtId="49" xfId="0" applyAlignment="1" applyBorder="1" applyFont="1" applyNumberFormat="1">
      <alignment horizontal="center" readingOrder="0"/>
    </xf>
    <xf borderId="7" fillId="6" fontId="20" numFmtId="0" xfId="0" applyAlignment="1" applyBorder="1" applyFont="1">
      <alignment readingOrder="0"/>
    </xf>
    <xf borderId="7" fillId="6" fontId="20" numFmtId="165" xfId="0" applyAlignment="1" applyBorder="1" applyFont="1" applyNumberFormat="1">
      <alignment readingOrder="0"/>
    </xf>
    <xf borderId="7" fillId="6" fontId="20" numFmtId="164" xfId="0" applyAlignment="1" applyBorder="1" applyFont="1" applyNumberFormat="1">
      <alignment horizontal="right" readingOrder="0"/>
    </xf>
    <xf borderId="7" fillId="6" fontId="20" numFmtId="0" xfId="0" applyBorder="1" applyFont="1"/>
    <xf borderId="8" fillId="6" fontId="20" numFmtId="0" xfId="0" applyAlignment="1" applyBorder="1" applyFont="1">
      <alignment readingOrder="0"/>
    </xf>
    <xf borderId="0" fillId="6" fontId="20" numFmtId="0" xfId="0" applyAlignment="1" applyFont="1">
      <alignment readingOrder="0"/>
    </xf>
    <xf borderId="0" fillId="0" fontId="15" numFmtId="49" xfId="0" applyAlignment="1" applyFont="1" applyNumberFormat="1">
      <alignment horizontal="center" vertical="top"/>
    </xf>
    <xf borderId="7" fillId="3" fontId="15" numFmtId="49" xfId="0" applyAlignment="1" applyBorder="1" applyFont="1" applyNumberFormat="1">
      <alignment horizontal="center" vertical="top"/>
    </xf>
    <xf borderId="7" fillId="3" fontId="15" numFmtId="49" xfId="0" applyAlignment="1" applyBorder="1" applyFont="1" applyNumberFormat="1">
      <alignment horizontal="center" readingOrder="0" vertical="top"/>
    </xf>
    <xf borderId="10" fillId="3" fontId="15" numFmtId="49" xfId="0" applyAlignment="1" applyBorder="1" applyFont="1" applyNumberFormat="1">
      <alignment horizontal="center" readingOrder="0" vertical="top"/>
    </xf>
    <xf borderId="7" fillId="3" fontId="15" numFmtId="0" xfId="0" applyAlignment="1" applyBorder="1" applyFont="1">
      <alignment readingOrder="0" vertical="top"/>
    </xf>
    <xf borderId="7" fillId="3" fontId="15" numFmtId="165" xfId="0" applyAlignment="1" applyBorder="1" applyFont="1" applyNumberFormat="1">
      <alignment readingOrder="0" vertical="top"/>
    </xf>
    <xf borderId="7" fillId="3" fontId="15" numFmtId="164" xfId="0" applyAlignment="1" applyBorder="1" applyFont="1" applyNumberFormat="1">
      <alignment horizontal="right" readingOrder="0"/>
    </xf>
    <xf borderId="7" fillId="3" fontId="15" numFmtId="0" xfId="0" applyBorder="1" applyFont="1"/>
    <xf borderId="8" fillId="3" fontId="15" numFmtId="0" xfId="0" applyAlignment="1" applyBorder="1" applyFont="1">
      <alignment readingOrder="0" shrinkToFit="0" vertical="top" wrapText="0"/>
    </xf>
    <xf borderId="0" fillId="3" fontId="15" numFmtId="0" xfId="0" applyAlignment="1" applyFont="1">
      <alignment readingOrder="0" shrinkToFit="0" vertical="top" wrapText="0"/>
    </xf>
    <xf borderId="7" fillId="0" fontId="15" numFmtId="0" xfId="0" applyAlignment="1" applyBorder="1" applyFont="1">
      <alignment readingOrder="0" vertical="top"/>
    </xf>
    <xf borderId="7" fillId="0" fontId="15" numFmtId="165" xfId="0" applyAlignment="1" applyBorder="1" applyFont="1" applyNumberFormat="1">
      <alignment readingOrder="0" vertical="top"/>
    </xf>
    <xf borderId="7" fillId="0" fontId="15" numFmtId="164" xfId="0" applyAlignment="1" applyBorder="1" applyFont="1" applyNumberFormat="1">
      <alignment horizontal="right" readingOrder="0"/>
    </xf>
    <xf borderId="7" fillId="0" fontId="15" numFmtId="0" xfId="0" applyAlignment="1" applyBorder="1" applyFont="1">
      <alignment readingOrder="0" vertical="bottom"/>
    </xf>
    <xf borderId="0" fillId="0" fontId="26" numFmtId="0" xfId="0" applyAlignment="1" applyFont="1">
      <alignment readingOrder="0"/>
    </xf>
    <xf borderId="8" fillId="0" fontId="15" numFmtId="0" xfId="0" applyAlignment="1" applyBorder="1" applyFont="1">
      <alignment readingOrder="0"/>
    </xf>
    <xf borderId="0" fillId="0" fontId="15" numFmtId="10" xfId="0" applyAlignment="1" applyFont="1" applyNumberFormat="1">
      <alignment readingOrder="0"/>
    </xf>
    <xf borderId="0" fillId="0" fontId="15" numFmtId="164" xfId="0" applyAlignment="1" applyFont="1" applyNumberFormat="1">
      <alignment horizontal="right" readingOrder="0"/>
    </xf>
    <xf borderId="0" fillId="0" fontId="26" numFmtId="10" xfId="0" applyAlignment="1" applyFont="1" applyNumberFormat="1">
      <alignment horizontal="right" readingOrder="0" shrinkToFit="0" wrapText="1"/>
    </xf>
    <xf borderId="8" fillId="0" fontId="15" numFmtId="3" xfId="0" applyAlignment="1" applyBorder="1" applyFont="1" applyNumberFormat="1">
      <alignment readingOrder="0"/>
    </xf>
    <xf borderId="0" fillId="2" fontId="15" numFmtId="49" xfId="0" applyAlignment="1" applyFont="1" applyNumberFormat="1">
      <alignment horizontal="center"/>
    </xf>
    <xf borderId="7" fillId="2" fontId="15" numFmtId="49" xfId="0" applyAlignment="1" applyBorder="1" applyFont="1" applyNumberFormat="1">
      <alignment horizontal="center"/>
    </xf>
    <xf borderId="7" fillId="2" fontId="15" numFmtId="49" xfId="0" applyAlignment="1" applyBorder="1" applyFont="1" applyNumberFormat="1">
      <alignment horizontal="center" readingOrder="0"/>
    </xf>
    <xf borderId="10" fillId="2" fontId="15" numFmtId="49" xfId="0" applyAlignment="1" applyBorder="1" applyFont="1" applyNumberFormat="1">
      <alignment horizontal="center" readingOrder="0"/>
    </xf>
    <xf borderId="7" fillId="2" fontId="15" numFmtId="0" xfId="0" applyAlignment="1" applyBorder="1" applyFont="1">
      <alignment readingOrder="0" vertical="top"/>
    </xf>
    <xf borderId="7" fillId="2" fontId="15" numFmtId="165" xfId="0" applyAlignment="1" applyBorder="1" applyFont="1" applyNumberFormat="1">
      <alignment readingOrder="0" vertical="top"/>
    </xf>
    <xf borderId="7" fillId="2" fontId="15" numFmtId="164" xfId="0" applyAlignment="1" applyBorder="1" applyFont="1" applyNumberFormat="1">
      <alignment horizontal="right" readingOrder="0"/>
    </xf>
    <xf borderId="7" fillId="2" fontId="15" numFmtId="0" xfId="0" applyAlignment="1" applyBorder="1" applyFont="1">
      <alignment vertical="bottom"/>
    </xf>
    <xf borderId="8" fillId="2" fontId="15" numFmtId="0" xfId="0" applyAlignment="1" applyBorder="1" applyFont="1">
      <alignment readingOrder="0"/>
    </xf>
    <xf borderId="0" fillId="2" fontId="15" numFmtId="10" xfId="0" applyAlignment="1" applyFont="1" applyNumberFormat="1">
      <alignment readingOrder="0"/>
    </xf>
    <xf borderId="0" fillId="2" fontId="15" numFmtId="164" xfId="0" applyAlignment="1" applyFont="1" applyNumberFormat="1">
      <alignment horizontal="right" readingOrder="0"/>
    </xf>
    <xf borderId="0" fillId="2" fontId="15" numFmtId="0" xfId="0" applyAlignment="1" applyFont="1">
      <alignment readingOrder="0"/>
    </xf>
    <xf borderId="7" fillId="0" fontId="15" numFmtId="0" xfId="0" applyAlignment="1" applyBorder="1" applyFont="1">
      <alignment vertical="top"/>
    </xf>
    <xf borderId="7" fillId="0" fontId="15" numFmtId="165" xfId="0" applyAlignment="1" applyBorder="1" applyFont="1" applyNumberFormat="1">
      <alignment horizontal="right" vertical="top"/>
    </xf>
    <xf borderId="7" fillId="3" fontId="15" numFmtId="49" xfId="0" applyAlignment="1" applyBorder="1" applyFont="1" applyNumberFormat="1">
      <alignment horizontal="center"/>
    </xf>
    <xf borderId="7" fillId="3" fontId="15" numFmtId="49" xfId="0" applyAlignment="1" applyBorder="1" applyFont="1" applyNumberFormat="1">
      <alignment horizontal="center" readingOrder="0"/>
    </xf>
    <xf borderId="10" fillId="3" fontId="15" numFmtId="49" xfId="0" applyAlignment="1" applyBorder="1" applyFont="1" applyNumberFormat="1">
      <alignment horizontal="center" readingOrder="0"/>
    </xf>
    <xf borderId="7" fillId="3" fontId="15" numFmtId="0" xfId="0" applyAlignment="1" applyBorder="1" applyFont="1">
      <alignment readingOrder="0"/>
    </xf>
    <xf borderId="0" fillId="3" fontId="15" numFmtId="10" xfId="0" applyAlignment="1" applyFont="1" applyNumberFormat="1">
      <alignment readingOrder="0" shrinkToFit="0" vertical="top" wrapText="0"/>
    </xf>
    <xf borderId="0" fillId="0" fontId="15" numFmtId="0" xfId="0" applyAlignment="1" applyFont="1">
      <alignment vertical="top"/>
    </xf>
    <xf borderId="0" fillId="0" fontId="19" numFmtId="10" xfId="0" applyAlignment="1" applyFont="1" applyNumberFormat="1">
      <alignment horizontal="right" readingOrder="0" shrinkToFit="0" wrapText="1"/>
    </xf>
    <xf borderId="0" fillId="0" fontId="15" numFmtId="0" xfId="0" applyAlignment="1" applyFont="1">
      <alignment vertical="bottom"/>
    </xf>
    <xf borderId="7" fillId="0" fontId="15" numFmtId="165" xfId="0" applyAlignment="1" applyBorder="1" applyFont="1" applyNumberFormat="1">
      <alignment horizontal="right" vertical="bottom"/>
    </xf>
    <xf borderId="0" fillId="0" fontId="19" numFmtId="3" xfId="0" applyAlignment="1" applyFont="1" applyNumberFormat="1">
      <alignment horizontal="right" readingOrder="0" shrinkToFit="0" wrapText="1"/>
    </xf>
    <xf borderId="0" fillId="2" fontId="26" numFmtId="10" xfId="0" applyAlignment="1" applyFont="1" applyNumberFormat="1">
      <alignment horizontal="right" readingOrder="0" shrinkToFit="0" wrapText="1"/>
    </xf>
    <xf borderId="7" fillId="0" fontId="15" numFmtId="3" xfId="0" applyAlignment="1" applyBorder="1" applyFont="1" applyNumberFormat="1">
      <alignment horizontal="right" vertical="bottom"/>
    </xf>
    <xf borderId="0" fillId="0" fontId="15" numFmtId="49" xfId="0" applyAlignment="1" applyFont="1" applyNumberFormat="1">
      <alignment vertical="bottom"/>
    </xf>
    <xf borderId="7" fillId="0" fontId="15" numFmtId="0" xfId="0" applyAlignment="1" applyBorder="1" applyFont="1">
      <alignment vertical="bottom"/>
    </xf>
    <xf borderId="8" fillId="0" fontId="15" numFmtId="0" xfId="0" applyAlignment="1" applyBorder="1" applyFont="1">
      <alignment vertical="bottom"/>
    </xf>
    <xf borderId="0" fillId="0" fontId="14" numFmtId="10" xfId="0" applyAlignment="1" applyFont="1" applyNumberFormat="1">
      <alignment readingOrder="0"/>
    </xf>
    <xf borderId="0" fillId="0" fontId="15" numFmtId="49" xfId="0" applyAlignment="1" applyFont="1" applyNumberFormat="1">
      <alignment horizontal="center" vertical="bottom"/>
    </xf>
    <xf borderId="7" fillId="2" fontId="15" numFmtId="0" xfId="0" applyAlignment="1" applyBorder="1" applyFont="1">
      <alignment readingOrder="0"/>
    </xf>
    <xf borderId="8" fillId="3" fontId="15" numFmtId="0" xfId="0" applyAlignment="1" applyBorder="1" applyFont="1">
      <alignment readingOrder="0"/>
    </xf>
    <xf borderId="0" fillId="3" fontId="15" numFmtId="0" xfId="0" applyAlignment="1" applyFont="1">
      <alignment readingOrder="0"/>
    </xf>
    <xf borderId="0" fillId="0" fontId="20" numFmtId="49" xfId="0" applyAlignment="1" applyFont="1" applyNumberFormat="1">
      <alignment horizontal="center"/>
    </xf>
    <xf borderId="7" fillId="0" fontId="20" numFmtId="49" xfId="0" applyAlignment="1" applyBorder="1" applyFont="1" applyNumberFormat="1">
      <alignment horizontal="center" readingOrder="0"/>
    </xf>
    <xf borderId="10" fillId="0" fontId="20" numFmtId="49" xfId="0" applyAlignment="1" applyBorder="1" applyFont="1" applyNumberFormat="1">
      <alignment horizontal="center" readingOrder="0"/>
    </xf>
    <xf borderId="7" fillId="0" fontId="20" numFmtId="0" xfId="0" applyAlignment="1" applyBorder="1" applyFont="1">
      <alignment readingOrder="0"/>
    </xf>
    <xf borderId="7" fillId="0" fontId="20" numFmtId="0" xfId="0" applyAlignment="1" applyBorder="1" applyFont="1">
      <alignment horizontal="right" readingOrder="0"/>
    </xf>
    <xf borderId="7" fillId="0" fontId="20" numFmtId="164" xfId="0" applyAlignment="1" applyBorder="1" applyFont="1" applyNumberFormat="1">
      <alignment horizontal="right" readingOrder="0"/>
    </xf>
    <xf borderId="8" fillId="0" fontId="20" numFmtId="0" xfId="0" applyAlignment="1" applyBorder="1" applyFont="1">
      <alignment readingOrder="0"/>
    </xf>
    <xf borderId="0" fillId="0" fontId="20" numFmtId="0" xfId="0" applyAlignment="1" applyFont="1">
      <alignment readingOrder="0"/>
    </xf>
    <xf borderId="7" fillId="6" fontId="20" numFmtId="165" xfId="0" applyAlignment="1" applyBorder="1" applyFont="1" applyNumberFormat="1">
      <alignment horizontal="right" readingOrder="0"/>
    </xf>
    <xf borderId="7" fillId="3" fontId="15" numFmtId="165" xfId="0" applyAlignment="1" applyBorder="1" applyFont="1" applyNumberFormat="1">
      <alignment horizontal="right" readingOrder="0"/>
    </xf>
    <xf borderId="8" fillId="3" fontId="15" numFmtId="0" xfId="0" applyBorder="1" applyFont="1"/>
    <xf borderId="0" fillId="3" fontId="15" numFmtId="0" xfId="0" applyFont="1"/>
    <xf borderId="8" fillId="0" fontId="27" numFmtId="0" xfId="0" applyAlignment="1" applyBorder="1" applyFont="1">
      <alignment readingOrder="0"/>
    </xf>
    <xf borderId="0" fillId="0" fontId="27" numFmtId="0" xfId="0" applyAlignment="1" applyFont="1">
      <alignment readingOrder="0"/>
    </xf>
    <xf borderId="7" fillId="0" fontId="15" numFmtId="3" xfId="0" applyAlignment="1" applyBorder="1" applyFont="1" applyNumberFormat="1">
      <alignment horizontal="right" readingOrder="0" vertical="bottom"/>
    </xf>
    <xf borderId="7" fillId="0" fontId="15" numFmtId="0" xfId="0" applyBorder="1" applyFont="1"/>
    <xf borderId="7" fillId="0" fontId="15" numFmtId="0" xfId="0" applyAlignment="1" applyBorder="1" applyFont="1">
      <alignment vertical="bottom"/>
    </xf>
    <xf borderId="8" fillId="0" fontId="19" numFmtId="0" xfId="0" applyBorder="1" applyFont="1"/>
    <xf borderId="7" fillId="0" fontId="15" numFmtId="3" xfId="0" applyAlignment="1" applyBorder="1" applyFont="1" applyNumberFormat="1">
      <alignment horizontal="right" vertical="top"/>
    </xf>
    <xf borderId="7" fillId="0" fontId="15" numFmtId="0" xfId="0" applyBorder="1" applyFont="1"/>
    <xf borderId="7" fillId="0" fontId="28" numFmtId="0" xfId="0" applyAlignment="1" applyBorder="1" applyFont="1">
      <alignment readingOrder="0" vertical="center"/>
    </xf>
    <xf borderId="7" fillId="0" fontId="15" numFmtId="165" xfId="0" applyAlignment="1" applyBorder="1" applyFont="1" applyNumberFormat="1">
      <alignment horizontal="right" readingOrder="0"/>
    </xf>
    <xf borderId="7" fillId="0" fontId="15" numFmtId="10" xfId="0" applyAlignment="1" applyBorder="1" applyFont="1" applyNumberFormat="1">
      <alignment horizontal="right"/>
    </xf>
    <xf borderId="8" fillId="3" fontId="19" numFmtId="0" xfId="0" applyAlignment="1" applyBorder="1" applyFont="1">
      <alignment readingOrder="0"/>
    </xf>
    <xf borderId="0" fillId="3" fontId="19" numFmtId="0" xfId="0" applyAlignment="1" applyFont="1">
      <alignment readingOrder="0"/>
    </xf>
    <xf borderId="8" fillId="0" fontId="19" numFmtId="0" xfId="0" applyAlignment="1" applyBorder="1" applyFont="1">
      <alignment readingOrder="0"/>
    </xf>
    <xf borderId="7" fillId="0" fontId="15" numFmtId="0" xfId="0" applyAlignment="1" applyBorder="1" applyFont="1">
      <alignment readingOrder="0" vertical="center"/>
    </xf>
    <xf borderId="7" fillId="2" fontId="15" numFmtId="165" xfId="0" applyAlignment="1" applyBorder="1" applyFont="1" applyNumberFormat="1">
      <alignment horizontal="right" readingOrder="0"/>
    </xf>
    <xf borderId="8" fillId="2" fontId="19" numFmtId="0" xfId="0" applyAlignment="1" applyBorder="1" applyFont="1">
      <alignment readingOrder="0"/>
    </xf>
    <xf borderId="0" fillId="2" fontId="19" numFmtId="0" xfId="0" applyAlignment="1" applyFont="1">
      <alignment readingOrder="0"/>
    </xf>
    <xf borderId="8" fillId="0" fontId="29" numFmtId="0" xfId="0" applyBorder="1" applyFont="1"/>
    <xf borderId="0" fillId="0" fontId="29" numFmtId="0" xfId="0" applyAlignment="1" applyFont="1">
      <alignment readingOrder="0"/>
    </xf>
    <xf borderId="10" fillId="0" fontId="3" numFmtId="49" xfId="0" applyAlignment="1" applyBorder="1" applyFont="1" applyNumberFormat="1">
      <alignment horizontal="center" vertical="bottom"/>
    </xf>
    <xf borderId="7" fillId="0" fontId="3" numFmtId="0" xfId="0" applyAlignment="1" applyBorder="1" applyFont="1">
      <alignment vertical="bottom"/>
    </xf>
    <xf borderId="7" fillId="0" fontId="3" numFmtId="165" xfId="0" applyAlignment="1" applyBorder="1" applyFont="1" applyNumberFormat="1">
      <alignment horizontal="right" vertical="bottom"/>
    </xf>
    <xf borderId="7" fillId="0" fontId="15" numFmtId="165" xfId="0" applyAlignment="1" applyBorder="1" applyFont="1" applyNumberFormat="1">
      <alignment horizontal="right"/>
    </xf>
    <xf borderId="8" fillId="0" fontId="19" numFmtId="0" xfId="0" applyAlignment="1" applyBorder="1" applyFont="1">
      <alignment horizontal="left"/>
    </xf>
    <xf borderId="0" fillId="0" fontId="19" numFmtId="0" xfId="0" applyAlignment="1" applyFont="1">
      <alignment horizontal="left" readingOrder="0"/>
    </xf>
    <xf borderId="8" fillId="2" fontId="15" numFmtId="0" xfId="0" applyAlignment="1" applyBorder="1" applyFont="1">
      <alignment readingOrder="0"/>
    </xf>
    <xf borderId="0" fillId="2" fontId="15" numFmtId="0" xfId="0" applyAlignment="1" applyFont="1">
      <alignment readingOrder="0"/>
    </xf>
    <xf borderId="7" fillId="0" fontId="15" numFmtId="0" xfId="0" applyAlignment="1" applyBorder="1" applyFont="1">
      <alignment horizontal="left" readingOrder="0"/>
    </xf>
    <xf borderId="8" fillId="0" fontId="19" numFmtId="0" xfId="0" applyAlignment="1" applyBorder="1" applyFont="1">
      <alignment horizontal="left" readingOrder="0"/>
    </xf>
    <xf borderId="7" fillId="6" fontId="20" numFmtId="3" xfId="0" applyAlignment="1" applyBorder="1" applyFont="1" applyNumberFormat="1">
      <alignment horizontal="right" readingOrder="0"/>
    </xf>
    <xf borderId="8" fillId="6" fontId="20" numFmtId="164" xfId="0" applyAlignment="1" applyBorder="1" applyFont="1" applyNumberFormat="1">
      <alignment horizontal="right" readingOrder="0"/>
    </xf>
    <xf borderId="7" fillId="3" fontId="26" numFmtId="3" xfId="0" applyAlignment="1" applyBorder="1" applyFont="1" applyNumberFormat="1">
      <alignment readingOrder="0"/>
    </xf>
    <xf borderId="7" fillId="0" fontId="26" numFmtId="3" xfId="0" applyAlignment="1" applyBorder="1" applyFont="1" applyNumberFormat="1">
      <alignment readingOrder="0"/>
    </xf>
    <xf borderId="7" fillId="0" fontId="26" numFmtId="0" xfId="0" applyAlignment="1" applyBorder="1" applyFont="1">
      <alignment readingOrder="0" shrinkToFit="0" wrapText="0"/>
    </xf>
    <xf borderId="0" fillId="4" fontId="15" numFmtId="49" xfId="0" applyAlignment="1" applyFont="1" applyNumberFormat="1">
      <alignment horizontal="center"/>
    </xf>
    <xf borderId="7" fillId="4" fontId="15" numFmtId="49" xfId="0" applyAlignment="1" applyBorder="1" applyFont="1" applyNumberFormat="1">
      <alignment horizontal="center" readingOrder="0"/>
    </xf>
    <xf borderId="10" fillId="4" fontId="15" numFmtId="49" xfId="0" applyAlignment="1" applyBorder="1" applyFont="1" applyNumberFormat="1">
      <alignment horizontal="center" readingOrder="0"/>
    </xf>
    <xf borderId="7" fillId="4" fontId="15" numFmtId="0" xfId="0" applyAlignment="1" applyBorder="1" applyFont="1">
      <alignment readingOrder="0"/>
    </xf>
    <xf borderId="7" fillId="4" fontId="15" numFmtId="165" xfId="0" applyAlignment="1" applyBorder="1" applyFont="1" applyNumberFormat="1">
      <alignment horizontal="right" readingOrder="0"/>
    </xf>
    <xf borderId="7" fillId="4" fontId="15" numFmtId="10" xfId="0" applyBorder="1" applyFont="1" applyNumberFormat="1"/>
    <xf borderId="0" fillId="4" fontId="15" numFmtId="0" xfId="0" applyFont="1"/>
    <xf borderId="7" fillId="0" fontId="15" numFmtId="9" xfId="0" applyBorder="1" applyFont="1" applyNumberFormat="1"/>
    <xf borderId="7" fillId="4" fontId="23" numFmtId="0" xfId="0" applyAlignment="1" applyBorder="1" applyFont="1">
      <alignment readingOrder="0"/>
    </xf>
    <xf borderId="7" fillId="4" fontId="15" numFmtId="3" xfId="0" applyAlignment="1" applyBorder="1" applyFont="1" applyNumberFormat="1">
      <alignment horizontal="right" readingOrder="0"/>
    </xf>
    <xf borderId="7" fillId="4" fontId="15" numFmtId="164" xfId="0" applyAlignment="1" applyBorder="1" applyFont="1" applyNumberFormat="1">
      <alignment horizontal="right" readingOrder="0"/>
    </xf>
    <xf borderId="8" fillId="4" fontId="15" numFmtId="0" xfId="0" applyBorder="1" applyFont="1"/>
    <xf borderId="8" fillId="0" fontId="15" numFmtId="49" xfId="0" applyAlignment="1" applyBorder="1" applyFont="1" applyNumberFormat="1">
      <alignment horizontal="center"/>
    </xf>
    <xf borderId="10" fillId="0" fontId="15" numFmtId="49" xfId="0" applyAlignment="1" applyBorder="1" applyFont="1" applyNumberFormat="1">
      <alignment horizontal="center" shrinkToFit="0" vertical="bottom" wrapText="1"/>
    </xf>
    <xf borderId="7" fillId="0" fontId="15" numFmtId="0" xfId="0" applyAlignment="1" applyBorder="1" applyFont="1">
      <alignment shrinkToFit="0" vertical="bottom" wrapText="1"/>
    </xf>
    <xf borderId="0" fillId="0" fontId="15" numFmtId="0" xfId="0" applyAlignment="1" applyFont="1">
      <alignment vertical="bottom"/>
    </xf>
    <xf borderId="7" fillId="0" fontId="15" numFmtId="49" xfId="0" applyAlignment="1" applyBorder="1" applyFont="1" applyNumberFormat="1">
      <alignment horizontal="center" vertical="bottom"/>
    </xf>
    <xf borderId="7" fillId="4" fontId="15" numFmtId="0" xfId="0" applyBorder="1" applyFont="1"/>
    <xf borderId="8" fillId="0" fontId="27" numFmtId="0" xfId="0" applyBorder="1" applyFont="1"/>
    <xf borderId="7" fillId="0" fontId="26" numFmtId="0" xfId="0" applyAlignment="1" applyBorder="1" applyFont="1">
      <alignment readingOrder="0" shrinkToFit="0" vertical="bottom" wrapText="0"/>
    </xf>
    <xf borderId="7" fillId="4" fontId="15" numFmtId="0" xfId="0" applyBorder="1" applyFont="1"/>
    <xf borderId="7" fillId="0" fontId="14" numFmtId="0" xfId="0" applyBorder="1" applyFont="1"/>
    <xf borderId="7" fillId="0" fontId="15" numFmtId="10" xfId="0" applyBorder="1" applyFont="1" applyNumberFormat="1"/>
    <xf borderId="7" fillId="4" fontId="26" numFmtId="0" xfId="0" applyAlignment="1" applyBorder="1" applyFont="1">
      <alignment horizontal="left" readingOrder="0"/>
    </xf>
    <xf borderId="7" fillId="4" fontId="15" numFmtId="0" xfId="0" applyAlignment="1" applyBorder="1" applyFont="1">
      <alignment horizontal="left" readingOrder="0"/>
    </xf>
    <xf borderId="7" fillId="0" fontId="15" numFmtId="0" xfId="0" applyAlignment="1" applyBorder="1" applyFont="1">
      <alignment vertical="bottom"/>
    </xf>
    <xf borderId="7" fillId="4" fontId="15" numFmtId="49" xfId="0" applyAlignment="1" applyBorder="1" applyFont="1" applyNumberFormat="1">
      <alignment vertical="bottom"/>
    </xf>
    <xf borderId="7" fillId="4" fontId="15" numFmtId="49" xfId="0" applyAlignment="1" applyBorder="1" applyFont="1" applyNumberFormat="1">
      <alignment horizontal="center" readingOrder="0" vertical="bottom"/>
    </xf>
    <xf borderId="10" fillId="4" fontId="15" numFmtId="49" xfId="0" applyAlignment="1" applyBorder="1" applyFont="1" applyNumberFormat="1">
      <alignment vertical="bottom"/>
    </xf>
    <xf borderId="7" fillId="4" fontId="23" numFmtId="0" xfId="0" applyAlignment="1" applyBorder="1" applyFont="1">
      <alignment readingOrder="0" vertical="bottom"/>
    </xf>
    <xf borderId="7" fillId="4" fontId="15" numFmtId="3" xfId="0" applyAlignment="1" applyBorder="1" applyFont="1" applyNumberFormat="1">
      <alignment horizontal="right" vertical="bottom"/>
    </xf>
    <xf borderId="7" fillId="4" fontId="15" numFmtId="0" xfId="0" applyAlignment="1" applyBorder="1" applyFont="1">
      <alignment vertical="bottom"/>
    </xf>
    <xf borderId="8" fillId="4" fontId="15" numFmtId="0" xfId="0" applyAlignment="1" applyBorder="1" applyFont="1">
      <alignment vertical="bottom"/>
    </xf>
    <xf borderId="0" fillId="4" fontId="14" numFmtId="0" xfId="0" applyAlignment="1" applyFont="1">
      <alignment vertical="bottom"/>
    </xf>
    <xf borderId="7" fillId="0" fontId="15" numFmtId="49" xfId="0" applyAlignment="1" applyBorder="1" applyFont="1" applyNumberFormat="1">
      <alignment vertical="bottom"/>
    </xf>
    <xf borderId="8" fillId="0" fontId="15" numFmtId="0" xfId="0" applyAlignment="1" applyBorder="1" applyFont="1">
      <alignment vertical="bottom"/>
    </xf>
    <xf borderId="7" fillId="4" fontId="23" numFmtId="0" xfId="0" applyAlignment="1" applyBorder="1" applyFont="1">
      <alignment horizontal="left" readingOrder="0"/>
    </xf>
    <xf borderId="7" fillId="4" fontId="15" numFmtId="165" xfId="0" applyAlignment="1" applyBorder="1" applyFont="1" applyNumberFormat="1">
      <alignment vertical="bottom"/>
    </xf>
    <xf borderId="7" fillId="4" fontId="15" numFmtId="164" xfId="0" applyAlignment="1" applyBorder="1" applyFont="1" applyNumberFormat="1">
      <alignment vertical="bottom"/>
    </xf>
    <xf borderId="7" fillId="4" fontId="15" numFmtId="0" xfId="0" applyAlignment="1" applyBorder="1" applyFont="1">
      <alignment vertical="bottom"/>
    </xf>
    <xf borderId="7" fillId="0" fontId="26" numFmtId="0" xfId="0" applyAlignment="1" applyBorder="1" applyFont="1">
      <alignment horizontal="right" readingOrder="0" shrinkToFit="0" wrapText="0"/>
    </xf>
    <xf borderId="7" fillId="0" fontId="15" numFmtId="165" xfId="0" applyAlignment="1" applyBorder="1" applyFont="1" applyNumberFormat="1">
      <alignment vertical="bottom"/>
    </xf>
    <xf borderId="7" fillId="0" fontId="15" numFmtId="164" xfId="0" applyAlignment="1" applyBorder="1" applyFont="1" applyNumberFormat="1">
      <alignment vertical="bottom"/>
    </xf>
    <xf borderId="7" fillId="0" fontId="15" numFmtId="3" xfId="0" applyAlignment="1" applyBorder="1" applyFont="1" applyNumberFormat="1">
      <alignment vertical="bottom"/>
    </xf>
    <xf borderId="0" fillId="4" fontId="15" numFmtId="49" xfId="0" applyAlignment="1" applyFont="1" applyNumberFormat="1">
      <alignment vertical="bottom"/>
    </xf>
    <xf borderId="7" fillId="4" fontId="15" numFmtId="49" xfId="0" applyAlignment="1" applyBorder="1" applyFont="1" applyNumberFormat="1">
      <alignment readingOrder="0" vertical="bottom"/>
    </xf>
    <xf borderId="7" fillId="4" fontId="15" numFmtId="0" xfId="0" applyAlignment="1" applyBorder="1" applyFont="1">
      <alignment readingOrder="0" vertical="bottom"/>
    </xf>
    <xf borderId="10" fillId="4" fontId="15" numFmtId="165" xfId="0" applyAlignment="1" applyBorder="1" applyFont="1" applyNumberFormat="1">
      <alignment vertical="bottom"/>
    </xf>
    <xf borderId="0" fillId="4" fontId="15" numFmtId="0" xfId="0" applyAlignment="1" applyFont="1">
      <alignment vertical="bottom"/>
    </xf>
    <xf borderId="10" fillId="4" fontId="15" numFmtId="49" xfId="0" applyAlignment="1" applyBorder="1" applyFont="1" applyNumberFormat="1">
      <alignment readingOrder="0" vertical="bottom"/>
    </xf>
    <xf borderId="10" fillId="0" fontId="15" numFmtId="165" xfId="0" applyAlignment="1" applyBorder="1" applyFont="1" applyNumberFormat="1">
      <alignment horizontal="right" readingOrder="0"/>
    </xf>
    <xf borderId="10" fillId="4" fontId="15" numFmtId="49" xfId="0" applyAlignment="1" applyBorder="1" applyFont="1" applyNumberFormat="1">
      <alignment horizontal="center" vertical="bottom"/>
    </xf>
    <xf borderId="10" fillId="4" fontId="14" numFmtId="49" xfId="0" applyAlignment="1" applyBorder="1" applyFont="1" applyNumberFormat="1">
      <alignment vertical="bottom"/>
    </xf>
    <xf borderId="0" fillId="0" fontId="15" numFmtId="0" xfId="0" applyAlignment="1" applyFont="1">
      <alignment readingOrder="0" vertical="bottom"/>
    </xf>
    <xf borderId="10" fillId="4" fontId="15" numFmtId="49" xfId="0" applyAlignment="1" applyBorder="1" applyFont="1" applyNumberFormat="1">
      <alignment horizontal="center"/>
    </xf>
    <xf borderId="7" fillId="4" fontId="15" numFmtId="3" xfId="0" applyAlignment="1" applyBorder="1" applyFont="1" applyNumberFormat="1">
      <alignment horizontal="right"/>
    </xf>
    <xf borderId="7" fillId="4" fontId="15" numFmtId="164" xfId="0" applyAlignment="1" applyBorder="1" applyFont="1" applyNumberFormat="1">
      <alignment horizontal="right"/>
    </xf>
    <xf borderId="7" fillId="0" fontId="15" numFmtId="9" xfId="0" applyAlignment="1" applyBorder="1" applyFont="1" applyNumberFormat="1">
      <alignment horizontal="right" readingOrder="0"/>
    </xf>
    <xf borderId="7" fillId="0" fontId="14" numFmtId="3" xfId="0" applyAlignment="1" applyBorder="1" applyFont="1" applyNumberFormat="1">
      <alignment vertical="bottom"/>
    </xf>
    <xf borderId="0" fillId="0" fontId="15" numFmtId="0" xfId="0" applyFont="1"/>
    <xf borderId="7" fillId="0" fontId="15" numFmtId="3" xfId="0" applyAlignment="1" applyBorder="1" applyFont="1" applyNumberFormat="1">
      <alignment horizontal="right"/>
    </xf>
    <xf borderId="7" fillId="3" fontId="15" numFmtId="49" xfId="0" applyAlignment="1" applyBorder="1" applyFont="1" applyNumberFormat="1">
      <alignment vertical="bottom"/>
    </xf>
    <xf borderId="7" fillId="3" fontId="15" numFmtId="49" xfId="0" applyAlignment="1" applyBorder="1" applyFont="1" applyNumberFormat="1">
      <alignment horizontal="center" vertical="bottom"/>
    </xf>
    <xf borderId="10" fillId="3" fontId="15" numFmtId="49" xfId="0" applyAlignment="1" applyBorder="1" applyFont="1" applyNumberFormat="1">
      <alignment vertical="bottom"/>
    </xf>
    <xf borderId="7" fillId="3" fontId="15" numFmtId="0" xfId="0" applyAlignment="1" applyBorder="1" applyFont="1">
      <alignment vertical="bottom"/>
    </xf>
    <xf borderId="7" fillId="3" fontId="15" numFmtId="165" xfId="0" applyAlignment="1" applyBorder="1" applyFont="1" applyNumberFormat="1">
      <alignment horizontal="right" readingOrder="0" vertical="bottom"/>
    </xf>
    <xf borderId="6" fillId="3" fontId="26" numFmtId="0" xfId="0" applyAlignment="1" applyBorder="1" applyFont="1">
      <alignment readingOrder="0" shrinkToFit="0" wrapText="0"/>
    </xf>
    <xf borderId="8" fillId="3" fontId="15" numFmtId="0" xfId="0" applyAlignment="1" applyBorder="1" applyFont="1">
      <alignment vertical="bottom"/>
    </xf>
    <xf borderId="7" fillId="0" fontId="15" numFmtId="165" xfId="0" applyAlignment="1" applyBorder="1" applyFont="1" applyNumberFormat="1">
      <alignment horizontal="right" readingOrder="0" vertical="bottom"/>
    </xf>
    <xf borderId="7" fillId="0" fontId="15" numFmtId="164" xfId="0" applyAlignment="1" applyBorder="1" applyFont="1" applyNumberFormat="1">
      <alignment horizontal="right" vertical="bottom"/>
    </xf>
    <xf borderId="7" fillId="3" fontId="26" numFmtId="0" xfId="0" applyAlignment="1" applyBorder="1" applyFont="1">
      <alignment horizontal="left" readingOrder="0"/>
    </xf>
    <xf borderId="8" fillId="0" fontId="15" numFmtId="164" xfId="0" applyBorder="1" applyFont="1" applyNumberFormat="1"/>
    <xf borderId="7" fillId="0" fontId="15" numFmtId="0" xfId="0" applyAlignment="1" applyBorder="1" applyFont="1">
      <alignment readingOrder="0" shrinkToFit="0" vertical="bottom" wrapText="1"/>
    </xf>
    <xf borderId="8" fillId="0" fontId="15" numFmtId="0" xfId="0" applyAlignment="1" applyBorder="1" applyFont="1">
      <alignment vertical="top"/>
    </xf>
    <xf borderId="10" fillId="0" fontId="2" numFmtId="0" xfId="0" applyAlignment="1" applyBorder="1" applyFont="1">
      <alignment readingOrder="0" shrinkToFit="0" vertical="bottom" wrapText="1"/>
    </xf>
    <xf borderId="0" fillId="0" fontId="15" numFmtId="0" xfId="0" applyAlignment="1" applyFont="1">
      <alignment vertical="top"/>
    </xf>
    <xf borderId="8" fillId="0" fontId="15" numFmtId="10" xfId="0" applyAlignment="1" applyBorder="1" applyFont="1" applyNumberFormat="1">
      <alignment horizontal="right" vertical="top"/>
    </xf>
    <xf borderId="8" fillId="3" fontId="15" numFmtId="0" xfId="0" applyAlignment="1" applyBorder="1" applyFont="1">
      <alignment readingOrder="0"/>
    </xf>
    <xf borderId="0" fillId="3" fontId="15" numFmtId="0" xfId="0" applyAlignment="1" applyFont="1">
      <alignment readingOrder="0"/>
    </xf>
    <xf borderId="7" fillId="0" fontId="15" numFmtId="3" xfId="0" applyAlignment="1" applyBorder="1" applyFont="1" applyNumberFormat="1">
      <alignment readingOrder="0"/>
    </xf>
    <xf borderId="8" fillId="0" fontId="15" numFmtId="0" xfId="0" applyAlignment="1" applyBorder="1" applyFont="1">
      <alignment readingOrder="0"/>
    </xf>
    <xf borderId="7" fillId="0" fontId="26" numFmtId="0" xfId="0" applyAlignment="1" applyBorder="1" applyFont="1">
      <alignment horizontal="left" readingOrder="0"/>
    </xf>
    <xf borderId="8" fillId="0" fontId="15" numFmtId="3" xfId="0" applyAlignment="1" applyBorder="1" applyFont="1" applyNumberFormat="1">
      <alignment horizontal="right" readingOrder="0" vertical="bottom"/>
    </xf>
    <xf borderId="7" fillId="0" fontId="15" numFmtId="0" xfId="0" applyAlignment="1" applyBorder="1" applyFont="1">
      <alignment readingOrder="0" shrinkToFit="0" wrapText="1"/>
    </xf>
    <xf borderId="10" fillId="0" fontId="15" numFmtId="165" xfId="0" applyAlignment="1" applyBorder="1" applyFont="1" applyNumberFormat="1">
      <alignment horizontal="right" vertical="bottom"/>
    </xf>
    <xf borderId="7" fillId="7" fontId="15" numFmtId="0" xfId="0" applyAlignment="1" applyBorder="1" applyFill="1" applyFont="1">
      <alignment readingOrder="0" vertical="bottom"/>
    </xf>
    <xf borderId="10" fillId="0" fontId="15" numFmtId="165" xfId="0" applyAlignment="1" applyBorder="1" applyFont="1" applyNumberFormat="1">
      <alignment horizontal="right" readingOrder="0" vertical="bottom"/>
    </xf>
    <xf borderId="7" fillId="0" fontId="15" numFmtId="49" xfId="0" applyAlignment="1" applyBorder="1" applyFont="1" applyNumberFormat="1">
      <alignment horizontal="center" vertical="top"/>
    </xf>
    <xf borderId="8" fillId="0" fontId="15" numFmtId="3" xfId="0" applyAlignment="1" applyBorder="1" applyFont="1" applyNumberFormat="1">
      <alignment horizontal="right" vertical="bottom"/>
    </xf>
    <xf borderId="7" fillId="0" fontId="15" numFmtId="165" xfId="0" applyAlignment="1" applyBorder="1" applyFont="1" applyNumberFormat="1">
      <alignment shrinkToFit="0" vertical="bottom" wrapText="1"/>
    </xf>
    <xf borderId="10" fillId="3" fontId="15" numFmtId="49" xfId="0" applyAlignment="1" applyBorder="1" applyFont="1" applyNumberFormat="1">
      <alignment horizontal="center" vertical="bottom"/>
    </xf>
    <xf borderId="10" fillId="3" fontId="15" numFmtId="165" xfId="0" applyAlignment="1" applyBorder="1" applyFont="1" applyNumberFormat="1">
      <alignment horizontal="right" vertical="bottom"/>
    </xf>
    <xf borderId="0" fillId="3" fontId="15" numFmtId="0" xfId="0" applyAlignment="1" applyFont="1">
      <alignment vertical="bottom"/>
    </xf>
    <xf borderId="8" fillId="0" fontId="15" numFmtId="165" xfId="0" applyAlignment="1" applyBorder="1" applyFont="1" applyNumberFormat="1">
      <alignment readingOrder="0" vertical="bottom"/>
    </xf>
    <xf borderId="7" fillId="7" fontId="15" numFmtId="165" xfId="0" applyAlignment="1" applyBorder="1" applyFont="1" applyNumberFormat="1">
      <alignment readingOrder="0" vertical="bottom"/>
    </xf>
    <xf borderId="8" fillId="0" fontId="15" numFmtId="165" xfId="0" applyAlignment="1" applyBorder="1" applyFont="1" applyNumberFormat="1">
      <alignment horizontal="right" vertical="bottom"/>
    </xf>
    <xf borderId="0" fillId="0" fontId="15" numFmtId="165" xfId="0" applyAlignment="1" applyFont="1" applyNumberFormat="1">
      <alignment horizontal="right" vertical="bottom"/>
    </xf>
    <xf borderId="8" fillId="0" fontId="15" numFmtId="49" xfId="0" applyAlignment="1" applyBorder="1" applyFont="1" applyNumberFormat="1">
      <alignment vertical="bottom"/>
    </xf>
    <xf borderId="7" fillId="7" fontId="15" numFmtId="49" xfId="0" applyAlignment="1" applyBorder="1" applyFont="1" applyNumberFormat="1">
      <alignment horizontal="center" vertical="bottom"/>
    </xf>
    <xf borderId="7" fillId="7" fontId="15" numFmtId="0" xfId="0" applyAlignment="1" applyBorder="1" applyFont="1">
      <alignment vertical="bottom"/>
    </xf>
    <xf borderId="6" fillId="0" fontId="15" numFmtId="0" xfId="0" applyAlignment="1" applyBorder="1" applyFont="1">
      <alignment readingOrder="0" shrinkToFit="0" wrapText="1"/>
    </xf>
    <xf borderId="7" fillId="0" fontId="15" numFmtId="165" xfId="0" applyAlignment="1" applyBorder="1" applyFont="1" applyNumberFormat="1">
      <alignment readingOrder="0" shrinkToFit="0" vertical="bottom" wrapText="1"/>
    </xf>
    <xf borderId="7" fillId="4" fontId="15" numFmtId="165" xfId="0" applyAlignment="1" applyBorder="1" applyFont="1" applyNumberFormat="1">
      <alignment readingOrder="0"/>
    </xf>
    <xf borderId="10" fillId="4" fontId="26" numFmtId="165" xfId="0" applyAlignment="1" applyBorder="1" applyFont="1" applyNumberFormat="1">
      <alignment horizontal="right" readingOrder="0"/>
    </xf>
    <xf borderId="7" fillId="4" fontId="26" numFmtId="165" xfId="0" applyAlignment="1" applyBorder="1" applyFont="1" applyNumberFormat="1">
      <alignment horizontal="left" readingOrder="0"/>
    </xf>
    <xf borderId="8" fillId="4" fontId="15" numFmtId="164" xfId="0" applyAlignment="1" applyBorder="1" applyFont="1" applyNumberFormat="1">
      <alignment horizontal="right" readingOrder="0"/>
    </xf>
    <xf borderId="7" fillId="7" fontId="15" numFmtId="0" xfId="0" applyAlignment="1" applyBorder="1" applyFont="1">
      <alignment readingOrder="0" shrinkToFit="0" vertical="bottom" wrapText="1"/>
    </xf>
    <xf borderId="8" fillId="0" fontId="15" numFmtId="164" xfId="0" applyAlignment="1" applyBorder="1" applyFont="1" applyNumberFormat="1">
      <alignment horizontal="right" readingOrder="0"/>
    </xf>
    <xf borderId="7" fillId="3" fontId="15" numFmtId="49" xfId="0" applyAlignment="1" applyBorder="1" applyFont="1" applyNumberFormat="1">
      <alignment horizontal="center" readingOrder="0" vertical="bottom"/>
    </xf>
    <xf borderId="7" fillId="3" fontId="15" numFmtId="0" xfId="0" applyAlignment="1" applyBorder="1" applyFont="1">
      <alignment readingOrder="0" vertical="bottom"/>
    </xf>
    <xf borderId="7" fillId="3" fontId="15" numFmtId="164" xfId="0" applyAlignment="1" applyBorder="1" applyFont="1" applyNumberFormat="1">
      <alignment horizontal="right" vertical="bottom"/>
    </xf>
    <xf borderId="7" fillId="3" fontId="15" numFmtId="0" xfId="0" applyAlignment="1" applyBorder="1" applyFont="1">
      <alignment vertical="bottom"/>
    </xf>
    <xf borderId="7" fillId="4" fontId="15" numFmtId="49" xfId="0" applyAlignment="1" applyBorder="1" applyFont="1" applyNumberFormat="1">
      <alignment horizontal="center" vertical="bottom"/>
    </xf>
    <xf borderId="10" fillId="4" fontId="15" numFmtId="165" xfId="0" applyAlignment="1" applyBorder="1" applyFont="1" applyNumberFormat="1">
      <alignment horizontal="right" vertical="bottom"/>
    </xf>
    <xf borderId="7" fillId="4" fontId="15" numFmtId="164" xfId="0" applyAlignment="1" applyBorder="1" applyFont="1" applyNumberFormat="1">
      <alignment horizontal="right" vertical="bottom"/>
    </xf>
    <xf borderId="7" fillId="0" fontId="26" numFmtId="0" xfId="0" applyAlignment="1" applyBorder="1" applyFont="1">
      <alignment readingOrder="0" shrinkToFit="0" vertical="bottom" wrapText="1"/>
    </xf>
    <xf borderId="8" fillId="0" fontId="15" numFmtId="164" xfId="0" applyAlignment="1" applyBorder="1" applyFont="1" applyNumberFormat="1">
      <alignment vertical="bottom"/>
    </xf>
    <xf borderId="10" fillId="0" fontId="15" numFmtId="3" xfId="0" applyAlignment="1" applyBorder="1" applyFont="1" applyNumberFormat="1">
      <alignment vertical="bottom"/>
    </xf>
    <xf borderId="0" fillId="0" fontId="15" numFmtId="0" xfId="0" applyAlignment="1" applyFont="1">
      <alignment shrinkToFit="0" vertical="bottom" wrapText="1"/>
    </xf>
    <xf borderId="8" fillId="3" fontId="15" numFmtId="164" xfId="0" applyAlignment="1" applyBorder="1" applyFont="1" applyNumberFormat="1">
      <alignment horizontal="right" readingOrder="0"/>
    </xf>
    <xf borderId="7" fillId="0" fontId="15" numFmtId="0" xfId="0" applyAlignment="1" applyBorder="1" applyFont="1">
      <alignment readingOrder="0"/>
    </xf>
    <xf borderId="0" fillId="6" fontId="20" numFmtId="49" xfId="0" applyAlignment="1" applyFont="1" applyNumberFormat="1">
      <alignment horizontal="center" readingOrder="0"/>
    </xf>
    <xf borderId="0" fillId="0" fontId="15" numFmtId="3" xfId="0" applyFont="1" applyNumberFormat="1"/>
    <xf borderId="10" fillId="0" fontId="15" numFmtId="165" xfId="0" applyAlignment="1" applyBorder="1" applyFont="1" applyNumberFormat="1">
      <alignment readingOrder="0" vertical="top"/>
    </xf>
    <xf borderId="7" fillId="3" fontId="23" numFmtId="0" xfId="0" applyAlignment="1" applyBorder="1" applyFont="1">
      <alignment readingOrder="0"/>
    </xf>
    <xf borderId="8" fillId="0" fontId="15" numFmtId="0" xfId="0" applyAlignment="1" applyBorder="1" applyFont="1">
      <alignment readingOrder="0" shrinkToFit="0" vertical="bottom" wrapText="1"/>
    </xf>
    <xf borderId="7" fillId="7" fontId="15" numFmtId="0" xfId="0" applyAlignment="1" applyBorder="1" applyFont="1">
      <alignment shrinkToFit="0" vertical="bottom" wrapText="1"/>
    </xf>
    <xf borderId="7" fillId="5" fontId="20" numFmtId="165" xfId="0" applyAlignment="1" applyBorder="1" applyFont="1" applyNumberFormat="1">
      <alignment horizontal="right" readingOrder="0"/>
    </xf>
    <xf borderId="10" fillId="3" fontId="15" numFmtId="49" xfId="0" applyAlignment="1" applyBorder="1" applyFont="1" applyNumberFormat="1">
      <alignment horizontal="center"/>
    </xf>
    <xf borderId="7" fillId="0" fontId="3" numFmtId="166" xfId="0" applyAlignment="1" applyBorder="1" applyFont="1" applyNumberFormat="1">
      <alignment horizontal="right" vertical="bottom"/>
    </xf>
    <xf borderId="7" fillId="0" fontId="15" numFmtId="0" xfId="0" applyAlignment="1" applyBorder="1" applyFont="1">
      <alignment readingOrder="0" shrinkToFit="0" wrapText="0"/>
    </xf>
    <xf borderId="7" fillId="0" fontId="2" numFmtId="3" xfId="0" applyAlignment="1" applyBorder="1" applyFont="1" applyNumberFormat="1">
      <alignment horizontal="right" vertical="bottom"/>
    </xf>
    <xf borderId="7" fillId="0" fontId="10" numFmtId="0" xfId="0" applyAlignment="1" applyBorder="1" applyFont="1">
      <alignment readingOrder="0" vertical="center"/>
    </xf>
    <xf borderId="7" fillId="0" fontId="2" numFmtId="3" xfId="0" applyAlignment="1" applyBorder="1" applyFont="1" applyNumberFormat="1">
      <alignment horizontal="right" vertical="top"/>
    </xf>
    <xf borderId="7" fillId="0" fontId="9" numFmtId="166" xfId="0" applyAlignment="1" applyBorder="1" applyFont="1" applyNumberFormat="1">
      <alignment horizontal="right" vertical="bottom"/>
    </xf>
    <xf borderId="7" fillId="0" fontId="2" numFmtId="165" xfId="0" applyAlignment="1" applyBorder="1" applyFont="1" applyNumberFormat="1">
      <alignment horizontal="right" vertical="top"/>
    </xf>
    <xf borderId="7" fillId="0" fontId="2" numFmtId="166" xfId="0" applyAlignment="1" applyBorder="1" applyFont="1" applyNumberFormat="1">
      <alignment horizontal="right" vertical="bottom"/>
    </xf>
    <xf borderId="0" fillId="3" fontId="15" numFmtId="49" xfId="0" applyAlignment="1" applyFont="1" applyNumberFormat="1">
      <alignment horizontal="center"/>
    </xf>
    <xf borderId="7" fillId="0" fontId="10" numFmtId="0" xfId="0" applyAlignment="1" applyBorder="1" applyFont="1">
      <alignment readingOrder="0" vertical="bottom"/>
    </xf>
    <xf borderId="7" fillId="3" fontId="15" numFmtId="0" xfId="0" applyBorder="1" applyFont="1"/>
    <xf borderId="7" fillId="3" fontId="15" numFmtId="165" xfId="0" applyAlignment="1" applyBorder="1" applyFont="1" applyNumberFormat="1">
      <alignment horizontal="right"/>
    </xf>
    <xf borderId="7" fillId="0" fontId="15" numFmtId="166" xfId="0" applyAlignment="1" applyBorder="1" applyFont="1" applyNumberFormat="1">
      <alignment horizontal="right"/>
    </xf>
    <xf borderId="7" fillId="0" fontId="15" numFmtId="164" xfId="0" applyAlignment="1" applyBorder="1" applyFont="1" applyNumberFormat="1">
      <alignment horizontal="right"/>
    </xf>
    <xf borderId="7" fillId="0" fontId="15" numFmtId="164" xfId="0" applyBorder="1" applyFont="1" applyNumberFormat="1"/>
    <xf borderId="7" fillId="5" fontId="20" numFmtId="3" xfId="0" applyAlignment="1" applyBorder="1" applyFont="1" applyNumberFormat="1">
      <alignment horizontal="right" readingOrder="0"/>
    </xf>
    <xf borderId="7" fillId="3" fontId="15" numFmtId="3" xfId="0" applyAlignment="1" applyBorder="1" applyFont="1" applyNumberFormat="1">
      <alignment readingOrder="0"/>
    </xf>
    <xf borderId="7" fillId="0" fontId="2" numFmtId="0" xfId="0" applyAlignment="1" applyBorder="1" applyFont="1">
      <alignment readingOrder="0" shrinkToFit="0" wrapText="1"/>
    </xf>
    <xf borderId="7" fillId="0" fontId="2" numFmtId="0" xfId="0" applyAlignment="1" applyBorder="1" applyFont="1">
      <alignment readingOrder="0"/>
    </xf>
    <xf borderId="7" fillId="0" fontId="15" numFmtId="3" xfId="0" applyAlignment="1" applyBorder="1" applyFont="1" applyNumberFormat="1">
      <alignment readingOrder="0" vertical="top"/>
    </xf>
    <xf borderId="7" fillId="0" fontId="15" numFmtId="3" xfId="0" applyAlignment="1" applyBorder="1" applyFont="1" applyNumberFormat="1">
      <alignment readingOrder="0" vertical="bottom"/>
    </xf>
    <xf borderId="7" fillId="3" fontId="15" numFmtId="165" xfId="0" applyAlignment="1" applyBorder="1" applyFont="1" applyNumberFormat="1">
      <alignment readingOrder="0"/>
    </xf>
    <xf borderId="7" fillId="0" fontId="15" numFmtId="4" xfId="0" applyAlignment="1" applyBorder="1" applyFont="1" applyNumberFormat="1">
      <alignment horizontal="right" readingOrder="0"/>
    </xf>
    <xf borderId="0" fillId="0" fontId="14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4" numFmtId="0" xfId="0" applyFont="1"/>
    <xf borderId="0" fillId="0" fontId="1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3.0"/>
    <col customWidth="1" min="5" max="9" width="15.0"/>
  </cols>
  <sheetData>
    <row r="1">
      <c r="A1" s="1" t="s">
        <v>0</v>
      </c>
    </row>
    <row r="2">
      <c r="A2" s="1" t="s">
        <v>1</v>
      </c>
    </row>
    <row r="3">
      <c r="A3" s="2" t="s">
        <v>2</v>
      </c>
    </row>
    <row r="4">
      <c r="A4" s="3" t="s">
        <v>3</v>
      </c>
      <c r="G4" s="4"/>
      <c r="H4" s="5"/>
      <c r="I4" s="6" t="s">
        <v>4</v>
      </c>
    </row>
    <row r="5">
      <c r="A5" s="7" t="s">
        <v>5</v>
      </c>
      <c r="B5" s="8"/>
      <c r="C5" s="8"/>
      <c r="D5" s="8"/>
      <c r="E5" s="9"/>
      <c r="F5" s="10" t="s">
        <v>6</v>
      </c>
      <c r="G5" s="11" t="s">
        <v>7</v>
      </c>
      <c r="H5" s="12" t="s">
        <v>8</v>
      </c>
      <c r="I5" s="11" t="s">
        <v>9</v>
      </c>
    </row>
    <row r="6">
      <c r="A6" s="13" t="s">
        <v>10</v>
      </c>
      <c r="B6" s="13" t="s">
        <v>11</v>
      </c>
      <c r="C6" s="13" t="s">
        <v>12</v>
      </c>
      <c r="D6" s="14"/>
      <c r="E6" s="15"/>
      <c r="F6" s="16" t="s">
        <v>13</v>
      </c>
      <c r="G6" s="17" t="s">
        <v>14</v>
      </c>
      <c r="H6" s="18" t="s">
        <v>13</v>
      </c>
      <c r="I6" s="19" t="s">
        <v>14</v>
      </c>
    </row>
    <row r="7">
      <c r="A7" s="20"/>
      <c r="B7" s="21"/>
      <c r="C7" s="22" t="s">
        <v>15</v>
      </c>
      <c r="F7" s="23">
        <f>'表2｜主要表'!G7</f>
        <v>1898833</v>
      </c>
      <c r="G7" s="24">
        <f>F7/F7</f>
        <v>1</v>
      </c>
      <c r="H7" s="25">
        <f>H9+H21+H24</f>
        <v>1396063.684</v>
      </c>
      <c r="I7" s="26">
        <f>H7/H7</f>
        <v>1</v>
      </c>
    </row>
    <row r="8">
      <c r="A8" s="27"/>
      <c r="B8" s="27"/>
      <c r="C8" s="28"/>
      <c r="D8" s="28"/>
      <c r="E8" s="28"/>
      <c r="F8" s="29"/>
      <c r="G8" s="30"/>
      <c r="H8" s="31"/>
      <c r="I8" s="32"/>
    </row>
    <row r="9">
      <c r="A9" s="33">
        <v>1.0</v>
      </c>
      <c r="B9" s="33">
        <v>0.0</v>
      </c>
      <c r="C9" s="34" t="s">
        <v>16</v>
      </c>
      <c r="F9" s="35">
        <f>'表2｜主要表'!G9</f>
        <v>1898833</v>
      </c>
      <c r="G9" s="36">
        <f>'表2｜主要表'!H9</f>
        <v>1</v>
      </c>
      <c r="H9" s="37">
        <f>'表2｜主要表'!I9</f>
        <v>1183895.105</v>
      </c>
      <c r="I9" s="38">
        <f>'表2｜主要表'!J9</f>
        <v>0.8480237103</v>
      </c>
    </row>
    <row r="10">
      <c r="A10" s="39"/>
      <c r="B10" s="40">
        <v>1.0</v>
      </c>
      <c r="C10" s="41" t="s">
        <v>17</v>
      </c>
      <c r="F10" s="42">
        <f>'表2｜主要表'!G11</f>
        <v>1848833</v>
      </c>
      <c r="G10" s="43">
        <f>'表2｜主要表'!H11</f>
        <v>0.9736680372</v>
      </c>
      <c r="H10" s="44">
        <f>'表2｜主要表'!I11</f>
        <v>150568.4211</v>
      </c>
      <c r="I10" s="45">
        <f>'表2｜主要表'!J11</f>
        <v>0.1271805419</v>
      </c>
    </row>
    <row r="11">
      <c r="A11" s="46"/>
      <c r="B11" s="40">
        <v>2.0</v>
      </c>
      <c r="C11" s="41" t="s">
        <v>18</v>
      </c>
      <c r="F11" s="47">
        <v>0.0</v>
      </c>
      <c r="G11" s="43">
        <f>'表2｜主要表'!H21</f>
        <v>0</v>
      </c>
      <c r="H11" s="48">
        <f>'表2｜主要表'!I21</f>
        <v>52684.21053</v>
      </c>
      <c r="I11" s="45">
        <f>'表2｜主要表'!J21</f>
        <v>0.04450074191</v>
      </c>
    </row>
    <row r="12">
      <c r="A12" s="46"/>
      <c r="B12" s="40">
        <v>3.0</v>
      </c>
      <c r="C12" s="49" t="s">
        <v>19</v>
      </c>
      <c r="F12" s="50">
        <f>'表2｜主要表'!G26</f>
        <v>0</v>
      </c>
      <c r="G12" s="6">
        <f>'表2｜主要表'!H26</f>
        <v>0</v>
      </c>
      <c r="H12" s="50">
        <f>'表2｜主要表'!I26</f>
        <v>22905</v>
      </c>
      <c r="I12" s="51">
        <f>'表2｜主要表'!J26</f>
        <v>0.01934715322</v>
      </c>
    </row>
    <row r="13">
      <c r="A13" s="46"/>
      <c r="B13" s="40">
        <v>4.0</v>
      </c>
      <c r="C13" s="41" t="s">
        <v>20</v>
      </c>
      <c r="F13" s="47">
        <v>0.0</v>
      </c>
      <c r="G13" s="43">
        <f>'表2｜主要表'!H31</f>
        <v>0</v>
      </c>
      <c r="H13" s="50">
        <f>'表2｜主要表'!I31</f>
        <v>33789.47368</v>
      </c>
      <c r="I13" s="6">
        <f>'表2｜主要表'!J31</f>
        <v>0.02854093537</v>
      </c>
    </row>
    <row r="14">
      <c r="A14" s="46"/>
      <c r="B14" s="40">
        <v>5.0</v>
      </c>
      <c r="C14" s="41" t="s">
        <v>21</v>
      </c>
      <c r="F14" s="47">
        <v>0.0</v>
      </c>
      <c r="G14" s="43">
        <f>'表2｜主要表'!H36</f>
        <v>0</v>
      </c>
      <c r="H14" s="50">
        <f>'表2｜主要表'!I36</f>
        <v>217811</v>
      </c>
      <c r="I14" s="6">
        <f>'表2｜主要表'!J36</f>
        <v>0.1839782925</v>
      </c>
    </row>
    <row r="15">
      <c r="A15" s="46"/>
      <c r="B15" s="40">
        <v>6.0</v>
      </c>
      <c r="C15" s="41" t="s">
        <v>22</v>
      </c>
      <c r="F15" s="50">
        <f>'表2｜主要表'!G71</f>
        <v>0</v>
      </c>
      <c r="G15" s="43">
        <f>'表2｜主要表'!H71</f>
        <v>0</v>
      </c>
      <c r="H15" s="50">
        <f>'表2｜主要表'!I71</f>
        <v>158663</v>
      </c>
      <c r="I15" s="6">
        <f>'表2｜主要表'!J71</f>
        <v>0.1340177853</v>
      </c>
    </row>
    <row r="16">
      <c r="A16" s="46"/>
      <c r="B16" s="40">
        <v>7.0</v>
      </c>
      <c r="C16" s="41" t="s">
        <v>23</v>
      </c>
      <c r="F16" s="50">
        <f>'表2｜主要表'!G76</f>
        <v>0</v>
      </c>
      <c r="G16" s="6">
        <f>'表2｜主要表'!H76</f>
        <v>0</v>
      </c>
      <c r="H16" s="50">
        <f>'表2｜主要表'!I76</f>
        <v>25684</v>
      </c>
      <c r="I16" s="6">
        <f>'表2｜主要表'!J76</f>
        <v>0.02169448956</v>
      </c>
    </row>
    <row r="17">
      <c r="A17" s="46"/>
      <c r="B17" s="40">
        <v>8.0</v>
      </c>
      <c r="C17" s="41" t="s">
        <v>24</v>
      </c>
      <c r="F17" s="50">
        <f>'表2｜主要表'!G81</f>
        <v>50000</v>
      </c>
      <c r="G17" s="43">
        <f>'表2｜主要表'!H81</f>
        <v>0.02633196284</v>
      </c>
      <c r="H17" s="50">
        <f>'表2｜主要表'!I81</f>
        <v>376232</v>
      </c>
      <c r="I17" s="6">
        <f>'表2｜主要表'!J81</f>
        <v>0.3177916678</v>
      </c>
    </row>
    <row r="18">
      <c r="A18" s="46"/>
      <c r="B18" s="40">
        <v>9.0</v>
      </c>
      <c r="C18" s="41" t="s">
        <v>25</v>
      </c>
      <c r="F18" s="50">
        <f>'表2｜主要表'!G87</f>
        <v>0</v>
      </c>
      <c r="G18" s="43">
        <f>'表2｜主要表'!H87</f>
        <v>0</v>
      </c>
      <c r="H18" s="50">
        <f>'表2｜主要表'!I87</f>
        <v>104705</v>
      </c>
      <c r="I18" s="6">
        <f>'表2｜主要表'!J87</f>
        <v>0.08844111234</v>
      </c>
    </row>
    <row r="19">
      <c r="A19" s="40"/>
      <c r="B19" s="40" t="s">
        <v>26</v>
      </c>
      <c r="C19" s="41" t="s">
        <v>27</v>
      </c>
      <c r="F19" s="50">
        <f>'表2｜主要表'!G101</f>
        <v>0</v>
      </c>
      <c r="G19" s="43">
        <f>'表2｜主要表'!H101</f>
        <v>0</v>
      </c>
      <c r="H19" s="50">
        <f>'表2｜主要表'!I101</f>
        <v>40853</v>
      </c>
      <c r="I19" s="6">
        <f>'表2｜主要表'!J101</f>
        <v>0.03450728009</v>
      </c>
    </row>
    <row r="20">
      <c r="A20" s="27"/>
      <c r="B20" s="27"/>
      <c r="C20" s="28"/>
      <c r="D20" s="28"/>
      <c r="E20" s="28"/>
      <c r="F20" s="52"/>
      <c r="G20" s="53"/>
      <c r="H20" s="54"/>
      <c r="I20" s="53"/>
    </row>
    <row r="21">
      <c r="A21" s="33">
        <v>2.0</v>
      </c>
      <c r="B21" s="33">
        <v>0.0</v>
      </c>
      <c r="C21" s="34" t="s">
        <v>28</v>
      </c>
      <c r="F21" s="35">
        <f>'表2｜主要表'!G112</f>
        <v>0</v>
      </c>
      <c r="G21" s="36">
        <f>'表2｜主要表'!H112</f>
        <v>0</v>
      </c>
      <c r="H21" s="35">
        <f>'表2｜主要表'!I112</f>
        <v>118337</v>
      </c>
      <c r="I21" s="55">
        <f>'表2｜主要表'!J112</f>
        <v>0.08476475775</v>
      </c>
    </row>
    <row r="22">
      <c r="A22" s="46"/>
      <c r="B22" s="40">
        <v>1.0</v>
      </c>
      <c r="C22" s="41" t="s">
        <v>29</v>
      </c>
      <c r="F22" s="50">
        <f>'表2｜主要表'!G113</f>
        <v>0</v>
      </c>
      <c r="G22" s="43">
        <f>'表2｜主要表'!H113</f>
        <v>0</v>
      </c>
      <c r="H22" s="50">
        <f>'表2｜主要表'!I113</f>
        <v>118337</v>
      </c>
      <c r="I22" s="6">
        <f>'表2｜主要表'!J113</f>
        <v>1</v>
      </c>
    </row>
    <row r="23">
      <c r="A23" s="46"/>
      <c r="B23" s="46"/>
      <c r="C23" s="56"/>
      <c r="D23" s="56"/>
      <c r="E23" s="49"/>
      <c r="F23" s="57"/>
      <c r="G23" s="58"/>
      <c r="H23" s="59"/>
      <c r="I23" s="58"/>
    </row>
    <row r="24">
      <c r="A24" s="33">
        <v>3.0</v>
      </c>
      <c r="B24" s="33">
        <v>0.0</v>
      </c>
      <c r="C24" s="34" t="s">
        <v>30</v>
      </c>
      <c r="F24" s="35">
        <f>'表2｜主要表'!G119</f>
        <v>0</v>
      </c>
      <c r="G24" s="36">
        <f>'表2｜主要表'!H119</f>
        <v>0</v>
      </c>
      <c r="H24" s="60">
        <f>'表2｜主要表'!I119</f>
        <v>93831.57895</v>
      </c>
      <c r="I24" s="55">
        <f>'表2｜主要表'!J119</f>
        <v>0.06721153197</v>
      </c>
    </row>
    <row r="25">
      <c r="A25" s="46"/>
      <c r="B25" s="40">
        <v>1.0</v>
      </c>
      <c r="C25" s="41" t="s">
        <v>31</v>
      </c>
      <c r="F25" s="50">
        <f>'表2｜主要表'!G120</f>
        <v>0</v>
      </c>
      <c r="G25" s="6">
        <f>'表2｜主要表'!H120</f>
        <v>0</v>
      </c>
      <c r="H25" s="50">
        <f>'表2｜主要表'!I120</f>
        <v>93831.57895</v>
      </c>
      <c r="I25" s="6">
        <f>'表2｜主要表'!J120</f>
        <v>1</v>
      </c>
    </row>
    <row r="26">
      <c r="A26" s="56"/>
      <c r="B26" s="56"/>
      <c r="C26" s="56"/>
      <c r="D26" s="56"/>
      <c r="E26" s="49"/>
      <c r="F26" s="49"/>
      <c r="G26" s="58"/>
      <c r="H26" s="61"/>
      <c r="I26" s="58"/>
    </row>
    <row r="27">
      <c r="A27" s="2" t="s">
        <v>10</v>
      </c>
      <c r="B27" s="2"/>
      <c r="C27" s="4" t="s">
        <v>32</v>
      </c>
      <c r="F27" s="49"/>
      <c r="G27" s="58"/>
      <c r="H27" s="61"/>
      <c r="I27" s="58"/>
    </row>
    <row r="28">
      <c r="A28" s="2" t="s">
        <v>11</v>
      </c>
      <c r="B28" s="56"/>
      <c r="C28" s="4" t="s">
        <v>33</v>
      </c>
      <c r="F28" s="49"/>
      <c r="G28" s="58"/>
      <c r="H28" s="50"/>
      <c r="I28" s="62"/>
    </row>
    <row r="29">
      <c r="A29" s="2" t="s">
        <v>34</v>
      </c>
      <c r="B29" s="56"/>
      <c r="C29" s="4" t="s">
        <v>35</v>
      </c>
      <c r="F29" s="49"/>
      <c r="G29" s="58"/>
      <c r="H29" s="61"/>
      <c r="I29" s="51"/>
    </row>
    <row r="30">
      <c r="A30" s="2" t="s">
        <v>36</v>
      </c>
      <c r="B30" s="56"/>
      <c r="C30" s="4" t="s">
        <v>37</v>
      </c>
      <c r="F30" s="49"/>
      <c r="G30" s="58"/>
      <c r="H30" s="61"/>
      <c r="I30" s="58"/>
    </row>
  </sheetData>
  <mergeCells count="26">
    <mergeCell ref="A1:I1"/>
    <mergeCell ref="A2:I2"/>
    <mergeCell ref="A3:I3"/>
    <mergeCell ref="A4:F4"/>
    <mergeCell ref="A5:E5"/>
    <mergeCell ref="C6:E6"/>
    <mergeCell ref="C7:E7"/>
    <mergeCell ref="C9:E9"/>
    <mergeCell ref="C10:E10"/>
    <mergeCell ref="C11:E11"/>
    <mergeCell ref="C12:E12"/>
    <mergeCell ref="C13:E13"/>
    <mergeCell ref="C14:E14"/>
    <mergeCell ref="C15:E15"/>
    <mergeCell ref="C25:E25"/>
    <mergeCell ref="C27:E27"/>
    <mergeCell ref="C28:E28"/>
    <mergeCell ref="C29:E29"/>
    <mergeCell ref="C30:E30"/>
    <mergeCell ref="C16:E16"/>
    <mergeCell ref="C17:E17"/>
    <mergeCell ref="C18:E18"/>
    <mergeCell ref="C19:E19"/>
    <mergeCell ref="C21:E21"/>
    <mergeCell ref="C22:E22"/>
    <mergeCell ref="C24:E24"/>
  </mergeCells>
  <printOptions horizontalCentered="1"/>
  <pageMargins bottom="0.75" footer="0.0" header="0.0" left="0.25" right="0.25" top="0.75"/>
  <pageSetup fitToHeight="0" paperSize="9" orientation="portrait"/>
  <headerFooter>
    <oddFooter>&amp;L&amp;A&amp;R&amp;P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4" width="3.0"/>
    <col customWidth="1" min="5" max="5" width="5.0"/>
    <col customWidth="1" min="6" max="6" width="28.75"/>
    <col customWidth="1" min="7" max="7" width="11.0"/>
    <col customWidth="1" min="8" max="8" width="9.88"/>
    <col customWidth="1" min="9" max="9" width="11.0"/>
    <col customWidth="1" min="10" max="10" width="9.88"/>
    <col customWidth="1" min="11" max="30" width="29.25"/>
  </cols>
  <sheetData>
    <row r="1">
      <c r="A1" s="1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63" t="s">
        <v>38</v>
      </c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</row>
    <row r="3">
      <c r="A3" s="2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3" t="s">
        <v>3</v>
      </c>
      <c r="I4" s="4"/>
      <c r="J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</row>
    <row r="5">
      <c r="A5" s="65" t="s">
        <v>39</v>
      </c>
      <c r="B5" s="8"/>
      <c r="C5" s="8"/>
      <c r="D5" s="8"/>
      <c r="E5" s="66" t="s">
        <v>40</v>
      </c>
      <c r="F5" s="8"/>
      <c r="G5" s="67" t="s">
        <v>41</v>
      </c>
      <c r="H5" s="68"/>
      <c r="I5" s="69" t="s">
        <v>42</v>
      </c>
      <c r="J5" s="68"/>
      <c r="K5" s="70" t="s">
        <v>43</v>
      </c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</row>
    <row r="6">
      <c r="A6" s="72" t="s">
        <v>10</v>
      </c>
      <c r="B6" s="72" t="s">
        <v>11</v>
      </c>
      <c r="C6" s="72" t="s">
        <v>34</v>
      </c>
      <c r="D6" s="72" t="s">
        <v>36</v>
      </c>
      <c r="E6" s="73" t="s">
        <v>44</v>
      </c>
      <c r="F6" s="74" t="s">
        <v>45</v>
      </c>
      <c r="G6" s="75" t="s">
        <v>13</v>
      </c>
      <c r="H6" s="76"/>
      <c r="I6" s="77" t="s">
        <v>13</v>
      </c>
      <c r="J6" s="76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</row>
    <row r="7">
      <c r="A7" s="65"/>
      <c r="B7" s="78"/>
      <c r="C7" s="79"/>
      <c r="D7" s="78"/>
      <c r="E7" s="80"/>
      <c r="F7" s="81" t="s">
        <v>15</v>
      </c>
      <c r="G7" s="82">
        <f>G9+G112+G119</f>
        <v>1898833</v>
      </c>
      <c r="H7" s="24">
        <f>G7/G7</f>
        <v>1</v>
      </c>
      <c r="I7" s="83">
        <f>'表3-2｜期出預算附屬表'!G6</f>
        <v>1396063.684</v>
      </c>
      <c r="J7" s="26">
        <f>I7/I7</f>
        <v>1</v>
      </c>
      <c r="K7" s="84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</row>
    <row r="8">
      <c r="A8" s="72"/>
      <c r="B8" s="86"/>
      <c r="C8" s="87"/>
      <c r="D8" s="86"/>
      <c r="E8" s="80"/>
      <c r="F8" s="88"/>
      <c r="G8" s="89"/>
      <c r="H8" s="23"/>
      <c r="I8" s="23"/>
      <c r="J8" s="90"/>
      <c r="K8" s="91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</row>
    <row r="9">
      <c r="A9" s="92" t="s">
        <v>46</v>
      </c>
      <c r="B9" s="93" t="s">
        <v>47</v>
      </c>
      <c r="C9" s="92" t="s">
        <v>47</v>
      </c>
      <c r="D9" s="93" t="s">
        <v>47</v>
      </c>
      <c r="E9" s="94"/>
      <c r="F9" s="95" t="s">
        <v>16</v>
      </c>
      <c r="G9" s="35">
        <f>'表3-1｜期入預算附屬表'!G9</f>
        <v>1898833</v>
      </c>
      <c r="H9" s="96">
        <f>G9/G7</f>
        <v>1</v>
      </c>
      <c r="I9" s="97">
        <f>'表3-2｜期出預算附屬表'!G8</f>
        <v>1183895.105</v>
      </c>
      <c r="J9" s="96">
        <f>'表3-2｜期出預算附屬表'!H8</f>
        <v>0.8480237103</v>
      </c>
      <c r="K9" s="98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</row>
    <row r="10">
      <c r="A10" s="87"/>
      <c r="B10" s="100"/>
      <c r="C10" s="87"/>
      <c r="D10" s="86"/>
      <c r="E10" s="80"/>
      <c r="F10" s="101"/>
      <c r="G10" s="102"/>
      <c r="H10" s="103"/>
      <c r="I10" s="104"/>
      <c r="J10" s="49"/>
      <c r="K10" s="91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</row>
    <row r="11">
      <c r="A11" s="105"/>
      <c r="B11" s="106" t="s">
        <v>46</v>
      </c>
      <c r="C11" s="107" t="s">
        <v>47</v>
      </c>
      <c r="D11" s="106" t="s">
        <v>47</v>
      </c>
      <c r="E11" s="108"/>
      <c r="F11" s="109" t="s">
        <v>17</v>
      </c>
      <c r="G11" s="110">
        <f>'表3-1｜期入預算附屬表'!G11</f>
        <v>1848833</v>
      </c>
      <c r="H11" s="111">
        <f>G11/G9</f>
        <v>0.9736680372</v>
      </c>
      <c r="I11" s="112">
        <f>'表3-2｜期出預算附屬表'!G10</f>
        <v>150568.4211</v>
      </c>
      <c r="J11" s="113">
        <f>'表3-2｜期出預算附屬表'!H10</f>
        <v>0.1271805419</v>
      </c>
      <c r="K11" s="114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</row>
    <row r="12">
      <c r="A12" s="87"/>
      <c r="B12" s="86"/>
      <c r="C12" s="72"/>
      <c r="D12" s="100"/>
      <c r="E12" s="116"/>
      <c r="F12" s="101"/>
      <c r="G12" s="117"/>
      <c r="H12" s="103"/>
      <c r="I12" s="104"/>
      <c r="J12" s="49"/>
      <c r="K12" s="91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</row>
    <row r="13">
      <c r="A13" s="87"/>
      <c r="B13" s="118"/>
      <c r="C13" s="119" t="s">
        <v>47</v>
      </c>
      <c r="D13" s="120" t="s">
        <v>46</v>
      </c>
      <c r="E13" s="121"/>
      <c r="F13" s="122" t="s">
        <v>48</v>
      </c>
      <c r="G13" s="59">
        <f>'表3-1｜期入預算附屬表'!G13</f>
        <v>1848833</v>
      </c>
      <c r="H13" s="43">
        <f>G13/G7</f>
        <v>0.9736680372</v>
      </c>
      <c r="I13" s="104">
        <f>'表3-2｜期出預算附屬表'!G11</f>
        <v>80410</v>
      </c>
      <c r="J13" s="123">
        <f>'表3-2｜期出預算附屬表'!H11</f>
        <v>0.5340429251</v>
      </c>
      <c r="K13" s="124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</row>
    <row r="14">
      <c r="A14" s="87"/>
      <c r="B14" s="86"/>
      <c r="C14" s="72" t="s">
        <v>47</v>
      </c>
      <c r="D14" s="100" t="s">
        <v>49</v>
      </c>
      <c r="E14" s="116"/>
      <c r="F14" s="122" t="s">
        <v>50</v>
      </c>
      <c r="G14" s="126">
        <f>'表3-1｜期入預算附屬表'!G19</f>
        <v>0</v>
      </c>
      <c r="H14" s="127">
        <v>0.0</v>
      </c>
      <c r="I14" s="104">
        <f>'表3-2｜期出預算附屬表'!G17</f>
        <v>3300</v>
      </c>
      <c r="J14" s="58">
        <f>'表3-2｜期出預算附屬表'!H17</f>
        <v>0.02191694631</v>
      </c>
      <c r="K14" s="124" t="str">
        <f t="shared" ref="K14:K18" si="1">"會費支出："&amp;(I14-G14)</f>
        <v>會費支出：3300</v>
      </c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</row>
    <row r="15">
      <c r="A15" s="87"/>
      <c r="B15" s="118"/>
      <c r="C15" s="119" t="s">
        <v>47</v>
      </c>
      <c r="D15" s="120" t="s">
        <v>51</v>
      </c>
      <c r="E15" s="121"/>
      <c r="F15" s="128" t="s">
        <v>52</v>
      </c>
      <c r="G15" s="126">
        <f>'表3-1｜期入預算附屬表'!G20</f>
        <v>0</v>
      </c>
      <c r="H15" s="127">
        <v>0.0</v>
      </c>
      <c r="I15" s="104">
        <f>'表3-2｜期出預算附屬表'!G20</f>
        <v>7880</v>
      </c>
      <c r="J15" s="58">
        <f>'表3-2｜期出預算附屬表'!H20</f>
        <v>0.05233501119</v>
      </c>
      <c r="K15" s="124" t="str">
        <f t="shared" si="1"/>
        <v>會費支出：7880</v>
      </c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</row>
    <row r="16">
      <c r="A16" s="87"/>
      <c r="B16" s="118"/>
      <c r="C16" s="119" t="s">
        <v>47</v>
      </c>
      <c r="D16" s="120" t="s">
        <v>53</v>
      </c>
      <c r="E16" s="121"/>
      <c r="F16" s="128" t="s">
        <v>54</v>
      </c>
      <c r="G16" s="126">
        <f>'表3-1｜期入預算附屬表'!G21</f>
        <v>0</v>
      </c>
      <c r="H16" s="127">
        <v>0.0</v>
      </c>
      <c r="I16" s="104">
        <f>'表3-2｜期出預算附屬表'!G24</f>
        <v>14100</v>
      </c>
      <c r="J16" s="58">
        <f>'表3-2｜期出預算附屬表'!H24</f>
        <v>0.09364513423</v>
      </c>
      <c r="K16" s="124" t="str">
        <f t="shared" si="1"/>
        <v>會費支出：14100</v>
      </c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</row>
    <row r="17">
      <c r="A17" s="87"/>
      <c r="B17" s="118"/>
      <c r="C17" s="119" t="s">
        <v>47</v>
      </c>
      <c r="D17" s="120" t="s">
        <v>55</v>
      </c>
      <c r="E17" s="121"/>
      <c r="F17" s="128" t="s">
        <v>56</v>
      </c>
      <c r="G17" s="129">
        <v>0.0</v>
      </c>
      <c r="H17" s="127">
        <v>0.0</v>
      </c>
      <c r="I17" s="104">
        <f>'表3-2｜期出預算附屬表'!G29</f>
        <v>19050</v>
      </c>
      <c r="J17" s="58">
        <f>'表3-2｜期出預算附屬表'!H29</f>
        <v>0.1265205537</v>
      </c>
      <c r="K17" s="124" t="str">
        <f t="shared" si="1"/>
        <v>會費支出：19050</v>
      </c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</row>
    <row r="18">
      <c r="A18" s="87"/>
      <c r="B18" s="86"/>
      <c r="C18" s="72" t="s">
        <v>47</v>
      </c>
      <c r="D18" s="100" t="s">
        <v>57</v>
      </c>
      <c r="E18" s="116"/>
      <c r="F18" s="128" t="s">
        <v>58</v>
      </c>
      <c r="G18" s="126">
        <f>'表3-1｜期入預算附屬表'!G23</f>
        <v>0</v>
      </c>
      <c r="H18" s="127">
        <v>0.0</v>
      </c>
      <c r="I18" s="104">
        <f>'表3-2｜期出預算附屬表'!G33</f>
        <v>18300</v>
      </c>
      <c r="J18" s="58">
        <f>'表3-2｜期出預算附屬表'!H33</f>
        <v>0.1215394295</v>
      </c>
      <c r="K18" s="124" t="str">
        <f t="shared" si="1"/>
        <v>會費支出：18300</v>
      </c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</row>
    <row r="19">
      <c r="A19" s="87"/>
      <c r="B19" s="86"/>
      <c r="C19" s="72" t="s">
        <v>59</v>
      </c>
      <c r="D19" s="100" t="s">
        <v>59</v>
      </c>
      <c r="E19" s="116"/>
      <c r="F19" s="122" t="s">
        <v>60</v>
      </c>
      <c r="G19" s="126">
        <f>'表3-1｜期入預算附屬表'!G21</f>
        <v>0</v>
      </c>
      <c r="H19" s="127">
        <v>0.0</v>
      </c>
      <c r="I19" s="104">
        <f>'表3-2｜期出預算附屬表'!G39</f>
        <v>7528.421053</v>
      </c>
      <c r="J19" s="58">
        <f>'表3-2｜期出預算附屬表'!H39</f>
        <v>0.05</v>
      </c>
      <c r="K19" s="130" t="s">
        <v>61</v>
      </c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</row>
    <row r="20">
      <c r="A20" s="87"/>
      <c r="B20" s="86"/>
      <c r="C20" s="72"/>
      <c r="D20" s="100"/>
      <c r="E20" s="116"/>
      <c r="F20" s="122"/>
      <c r="G20" s="50"/>
      <c r="H20" s="103"/>
      <c r="I20" s="104"/>
      <c r="J20" s="49"/>
      <c r="K20" s="91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</row>
    <row r="21">
      <c r="A21" s="105"/>
      <c r="B21" s="106" t="s">
        <v>49</v>
      </c>
      <c r="C21" s="107" t="s">
        <v>47</v>
      </c>
      <c r="D21" s="106" t="s">
        <v>47</v>
      </c>
      <c r="E21" s="108"/>
      <c r="F21" s="109" t="s">
        <v>18</v>
      </c>
      <c r="G21" s="131">
        <v>0.0</v>
      </c>
      <c r="H21" s="111">
        <v>0.0</v>
      </c>
      <c r="I21" s="132">
        <f>'表3-2｜期出預算附屬表'!G42</f>
        <v>52684.21053</v>
      </c>
      <c r="J21" s="113">
        <f>'表3-2｜期出預算附屬表'!H42</f>
        <v>0.04450074191</v>
      </c>
      <c r="K21" s="133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</row>
    <row r="22">
      <c r="A22" s="87"/>
      <c r="B22" s="100"/>
      <c r="C22" s="72"/>
      <c r="D22" s="100"/>
      <c r="E22" s="116"/>
      <c r="F22" s="101"/>
      <c r="G22" s="50"/>
      <c r="H22" s="103"/>
      <c r="I22" s="104"/>
      <c r="J22" s="49"/>
      <c r="K22" s="91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</row>
    <row r="23">
      <c r="A23" s="87"/>
      <c r="B23" s="100"/>
      <c r="C23" s="72" t="s">
        <v>47</v>
      </c>
      <c r="D23" s="100" t="s">
        <v>46</v>
      </c>
      <c r="E23" s="116"/>
      <c r="F23" s="101" t="s">
        <v>48</v>
      </c>
      <c r="G23" s="126">
        <f>'表3-1｜期入預算附屬表'!G25</f>
        <v>0</v>
      </c>
      <c r="H23" s="127">
        <v>0.0</v>
      </c>
      <c r="I23" s="104">
        <f>'表3-2｜期出預算附屬表'!G43</f>
        <v>50050</v>
      </c>
      <c r="J23" s="58">
        <f>'表3-2｜期出預算附屬表'!H43</f>
        <v>0.95</v>
      </c>
      <c r="K23" s="13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</row>
    <row r="24">
      <c r="A24" s="87"/>
      <c r="B24" s="100"/>
      <c r="C24" s="72" t="s">
        <v>59</v>
      </c>
      <c r="D24" s="100" t="s">
        <v>59</v>
      </c>
      <c r="E24" s="116"/>
      <c r="F24" s="101" t="s">
        <v>60</v>
      </c>
      <c r="G24" s="126">
        <f>'表3-1｜期入預算附屬表'!G26</f>
        <v>0</v>
      </c>
      <c r="H24" s="127">
        <v>0.0</v>
      </c>
      <c r="I24" s="104">
        <f>'表3-2｜期出預算附屬表'!G51</f>
        <v>2634.210526</v>
      </c>
      <c r="J24" s="58">
        <f>'表3-2｜期出預算附屬表'!H51</f>
        <v>0.05</v>
      </c>
      <c r="K24" s="91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</row>
    <row r="25">
      <c r="A25" s="87"/>
      <c r="B25" s="100"/>
      <c r="C25" s="72"/>
      <c r="D25" s="100"/>
      <c r="E25" s="116"/>
      <c r="F25" s="101"/>
      <c r="G25" s="50"/>
      <c r="H25" s="127"/>
      <c r="I25" s="104"/>
      <c r="J25" s="49"/>
      <c r="K25" s="91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</row>
    <row r="26">
      <c r="A26" s="136"/>
      <c r="B26" s="106" t="s">
        <v>51</v>
      </c>
      <c r="C26" s="107" t="s">
        <v>47</v>
      </c>
      <c r="D26" s="106" t="s">
        <v>47</v>
      </c>
      <c r="E26" s="108"/>
      <c r="F26" s="109" t="s">
        <v>19</v>
      </c>
      <c r="G26" s="132">
        <f>'表3-1｜期入預算附屬表'!G28</f>
        <v>0</v>
      </c>
      <c r="H26" s="111">
        <v>0.0</v>
      </c>
      <c r="I26" s="132">
        <f>'表3-2｜期出預算附屬表'!G54</f>
        <v>22905</v>
      </c>
      <c r="J26" s="113">
        <f>'表3-2｜期出預算附屬表'!H54</f>
        <v>0.01934715322</v>
      </c>
      <c r="K26" s="133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</row>
    <row r="27">
      <c r="A27" s="87"/>
      <c r="B27" s="100"/>
      <c r="C27" s="72"/>
      <c r="D27" s="100"/>
      <c r="E27" s="116"/>
      <c r="F27" s="101"/>
      <c r="G27" s="50"/>
      <c r="H27" s="43"/>
      <c r="I27" s="49"/>
      <c r="J27" s="137"/>
      <c r="K27" s="137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</row>
    <row r="28">
      <c r="A28" s="87"/>
      <c r="B28" s="100"/>
      <c r="C28" s="72" t="s">
        <v>47</v>
      </c>
      <c r="D28" s="100" t="s">
        <v>46</v>
      </c>
      <c r="E28" s="116"/>
      <c r="F28" s="101" t="s">
        <v>48</v>
      </c>
      <c r="G28" s="50">
        <f>'表3-1｜期入預算附屬表'!G30</f>
        <v>0</v>
      </c>
      <c r="H28" s="43">
        <v>0.0</v>
      </c>
      <c r="I28" s="138">
        <f>'表3-2｜期出預算附屬表'!G55</f>
        <v>21760</v>
      </c>
      <c r="J28" s="45">
        <f>'表3-2｜期出預算附屬表'!H55</f>
        <v>0.9500109146</v>
      </c>
      <c r="K28" s="13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</row>
    <row r="29">
      <c r="A29" s="87"/>
      <c r="B29" s="100"/>
      <c r="C29" s="72" t="s">
        <v>59</v>
      </c>
      <c r="D29" s="100" t="s">
        <v>59</v>
      </c>
      <c r="E29" s="116"/>
      <c r="F29" s="101" t="s">
        <v>60</v>
      </c>
      <c r="G29" s="50">
        <f>'表3-1｜期入預算附屬表'!G31</f>
        <v>0</v>
      </c>
      <c r="H29" s="43">
        <v>0.0</v>
      </c>
      <c r="I29" s="138">
        <f>'表3-2｜期出預算附屬表'!G62</f>
        <v>1145</v>
      </c>
      <c r="J29" s="45">
        <f>'表3-2｜期出預算附屬表'!H62</f>
        <v>0.04998908535</v>
      </c>
      <c r="K29" s="13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</row>
    <row r="30">
      <c r="A30" s="87"/>
      <c r="B30" s="100"/>
      <c r="C30" s="72"/>
      <c r="D30" s="100"/>
      <c r="E30" s="116"/>
      <c r="F30" s="101"/>
      <c r="G30" s="50"/>
      <c r="H30" s="103"/>
      <c r="I30" s="49"/>
      <c r="J30" s="137"/>
      <c r="K30" s="137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</row>
    <row r="31">
      <c r="A31" s="136"/>
      <c r="B31" s="106" t="s">
        <v>53</v>
      </c>
      <c r="C31" s="107" t="s">
        <v>47</v>
      </c>
      <c r="D31" s="106" t="s">
        <v>47</v>
      </c>
      <c r="E31" s="108"/>
      <c r="F31" s="109" t="s">
        <v>20</v>
      </c>
      <c r="G31" s="131">
        <v>0.0</v>
      </c>
      <c r="H31" s="111">
        <v>0.0</v>
      </c>
      <c r="I31" s="112">
        <f>'表3-2｜期出預算附屬表'!G65</f>
        <v>33789.47368</v>
      </c>
      <c r="J31" s="113">
        <f>'表3-2｜期出預算附屬表'!H65</f>
        <v>0.02854093537</v>
      </c>
      <c r="K31" s="133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</row>
    <row r="32">
      <c r="A32" s="87"/>
      <c r="B32" s="100"/>
      <c r="C32" s="72"/>
      <c r="D32" s="100"/>
      <c r="E32" s="116"/>
      <c r="F32" s="101"/>
      <c r="G32" s="139"/>
      <c r="H32" s="103"/>
      <c r="I32" s="104"/>
      <c r="J32" s="49"/>
      <c r="K32" s="91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</row>
    <row r="33">
      <c r="A33" s="87"/>
      <c r="B33" s="100"/>
      <c r="C33" s="72" t="s">
        <v>47</v>
      </c>
      <c r="D33" s="100" t="s">
        <v>46</v>
      </c>
      <c r="E33" s="116"/>
      <c r="F33" s="101" t="s">
        <v>48</v>
      </c>
      <c r="G33" s="50">
        <f>'表3-1｜期入預算附屬表'!G35</f>
        <v>0</v>
      </c>
      <c r="H33" s="127">
        <v>0.0</v>
      </c>
      <c r="I33" s="104">
        <f>'表3-2｜期出預算附屬表'!G66</f>
        <v>32100</v>
      </c>
      <c r="J33" s="58">
        <f>'表3-2｜期出預算附屬表'!H66</f>
        <v>0.95</v>
      </c>
      <c r="K33" s="13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</row>
    <row r="34">
      <c r="A34" s="87"/>
      <c r="B34" s="100"/>
      <c r="C34" s="72" t="s">
        <v>59</v>
      </c>
      <c r="D34" s="100" t="s">
        <v>59</v>
      </c>
      <c r="E34" s="116"/>
      <c r="F34" s="101" t="s">
        <v>60</v>
      </c>
      <c r="G34" s="50">
        <f>'表3-1｜期入預算附屬表'!G36</f>
        <v>0</v>
      </c>
      <c r="H34" s="127">
        <v>0.0</v>
      </c>
      <c r="I34" s="104">
        <f>'表3-2｜期出預算附屬表'!G70</f>
        <v>1689.473684</v>
      </c>
      <c r="J34" s="58">
        <f>'表3-2｜期出預算附屬表'!H70</f>
        <v>0.05</v>
      </c>
      <c r="K34" s="91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</row>
    <row r="35">
      <c r="A35" s="87"/>
      <c r="B35" s="100"/>
      <c r="C35" s="72"/>
      <c r="D35" s="100"/>
      <c r="E35" s="116"/>
      <c r="F35" s="101"/>
      <c r="G35" s="50"/>
      <c r="H35" s="103"/>
      <c r="I35" s="104"/>
      <c r="J35" s="49"/>
      <c r="K35" s="91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</row>
    <row r="36">
      <c r="A36" s="136"/>
      <c r="B36" s="106" t="s">
        <v>55</v>
      </c>
      <c r="C36" s="107" t="s">
        <v>47</v>
      </c>
      <c r="D36" s="106" t="s">
        <v>47</v>
      </c>
      <c r="E36" s="108"/>
      <c r="F36" s="109" t="s">
        <v>21</v>
      </c>
      <c r="G36" s="131">
        <v>0.0</v>
      </c>
      <c r="H36" s="111">
        <v>0.0</v>
      </c>
      <c r="I36" s="132">
        <f>'表3-2｜期出預算附屬表'!G73</f>
        <v>217811</v>
      </c>
      <c r="J36" s="113">
        <f>'表3-2｜期出預算附屬表'!H73</f>
        <v>0.1839782925</v>
      </c>
      <c r="K36" s="133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</row>
    <row r="37">
      <c r="A37" s="87"/>
      <c r="B37" s="100"/>
      <c r="C37" s="72"/>
      <c r="D37" s="100"/>
      <c r="E37" s="116"/>
      <c r="F37" s="101"/>
      <c r="G37" s="50"/>
      <c r="H37" s="103"/>
      <c r="I37" s="104"/>
      <c r="J37" s="49"/>
      <c r="K37" s="91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</row>
    <row r="38">
      <c r="A38" s="87"/>
      <c r="B38" s="100"/>
      <c r="C38" s="72" t="s">
        <v>47</v>
      </c>
      <c r="D38" s="100" t="s">
        <v>46</v>
      </c>
      <c r="E38" s="116"/>
      <c r="F38" s="101" t="s">
        <v>48</v>
      </c>
      <c r="G38" s="50">
        <f>'表3-1｜期入預算附屬表'!G40</f>
        <v>0</v>
      </c>
      <c r="H38" s="127">
        <v>0.0</v>
      </c>
      <c r="I38" s="104">
        <f>'表3-2｜期出預算附屬表'!G75</f>
        <v>10000</v>
      </c>
      <c r="J38" s="58">
        <f>'表3-2｜期出預算附屬表'!H75</f>
        <v>0.04591136352</v>
      </c>
      <c r="K38" s="13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</row>
    <row r="39">
      <c r="A39" s="87"/>
      <c r="B39" s="100"/>
      <c r="C39" s="72"/>
      <c r="D39" s="100"/>
      <c r="E39" s="116"/>
      <c r="F39" s="101"/>
      <c r="G39" s="50"/>
      <c r="H39" s="103"/>
      <c r="I39" s="104"/>
      <c r="J39" s="49"/>
      <c r="K39" s="91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</row>
    <row r="40">
      <c r="A40" s="140"/>
      <c r="B40" s="141"/>
      <c r="C40" s="142" t="s">
        <v>46</v>
      </c>
      <c r="D40" s="141" t="s">
        <v>47</v>
      </c>
      <c r="E40" s="143"/>
      <c r="F40" s="144" t="s">
        <v>62</v>
      </c>
      <c r="G40" s="145">
        <f>'表3-1｜期入預算附屬表'!G42</f>
        <v>0</v>
      </c>
      <c r="H40" s="146">
        <v>0.0</v>
      </c>
      <c r="I40" s="147">
        <f>'表3-2｜期出預算附屬表'!G78</f>
        <v>70400</v>
      </c>
      <c r="J40" s="148">
        <f>'表3-2｜期出預算附屬表'!H78</f>
        <v>0.3232159992</v>
      </c>
      <c r="K40" s="149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</row>
    <row r="41">
      <c r="A41" s="87"/>
      <c r="B41" s="100"/>
      <c r="C41" s="72"/>
      <c r="D41" s="100" t="s">
        <v>46</v>
      </c>
      <c r="E41" s="116"/>
      <c r="F41" s="101" t="s">
        <v>48</v>
      </c>
      <c r="G41" s="50">
        <v>0.0</v>
      </c>
      <c r="H41" s="127">
        <v>0.0</v>
      </c>
      <c r="I41" s="104">
        <f>'表3-2｜期出預算附屬表'!G79</f>
        <v>5000</v>
      </c>
      <c r="J41" s="151">
        <f>'表3-2｜期出預算附屬表'!H79</f>
        <v>0.07102272727</v>
      </c>
      <c r="K41" s="124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</row>
    <row r="42">
      <c r="A42" s="87"/>
      <c r="B42" s="100"/>
      <c r="C42" s="72"/>
      <c r="D42" s="100" t="s">
        <v>49</v>
      </c>
      <c r="E42" s="116"/>
      <c r="F42" s="152" t="s">
        <v>63</v>
      </c>
      <c r="G42" s="50">
        <v>0.0</v>
      </c>
      <c r="H42" s="127">
        <v>0.0</v>
      </c>
      <c r="I42" s="50">
        <f>'表3-2｜期出預算附屬表'!G81</f>
        <v>5930</v>
      </c>
      <c r="J42" s="58">
        <f>'表3-2｜期出預算附屬表'!H81</f>
        <v>0.08423295455</v>
      </c>
      <c r="K42" s="124" t="str">
        <f t="shared" ref="K42:K45" si="2">"會費支出："&amp;(I42-G42)</f>
        <v>會費支出：5930</v>
      </c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</row>
    <row r="43">
      <c r="A43" s="87"/>
      <c r="B43" s="100"/>
      <c r="C43" s="72"/>
      <c r="D43" s="100" t="s">
        <v>51</v>
      </c>
      <c r="E43" s="116"/>
      <c r="F43" s="153" t="s">
        <v>64</v>
      </c>
      <c r="G43" s="50">
        <v>0.0</v>
      </c>
      <c r="H43" s="127">
        <v>0.0</v>
      </c>
      <c r="I43" s="104">
        <f>'表3-2｜期出預算附屬表'!G85</f>
        <v>21020</v>
      </c>
      <c r="J43" s="58">
        <f>'表3-2｜期出預算附屬表'!H85</f>
        <v>0.2985795455</v>
      </c>
      <c r="K43" s="124" t="str">
        <f t="shared" si="2"/>
        <v>會費支出：21020</v>
      </c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</row>
    <row r="44">
      <c r="A44" s="87"/>
      <c r="B44" s="100"/>
      <c r="C44" s="72"/>
      <c r="D44" s="100" t="s">
        <v>53</v>
      </c>
      <c r="E44" s="116"/>
      <c r="F44" s="153" t="s">
        <v>65</v>
      </c>
      <c r="G44" s="50">
        <v>0.0</v>
      </c>
      <c r="H44" s="127">
        <v>0.0</v>
      </c>
      <c r="I44" s="104">
        <f>'表3-2｜期出預算附屬表'!G94</f>
        <v>5350</v>
      </c>
      <c r="J44" s="58">
        <f>'表3-2｜期出預算附屬表'!H94</f>
        <v>0.07599431818</v>
      </c>
      <c r="K44" s="124" t="str">
        <f t="shared" si="2"/>
        <v>會費支出：5350</v>
      </c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</row>
    <row r="45">
      <c r="A45" s="87"/>
      <c r="B45" s="100"/>
      <c r="C45" s="72"/>
      <c r="D45" s="100" t="s">
        <v>55</v>
      </c>
      <c r="E45" s="116"/>
      <c r="F45" s="101" t="s">
        <v>66</v>
      </c>
      <c r="G45" s="50">
        <v>0.0</v>
      </c>
      <c r="H45" s="127">
        <v>0.0</v>
      </c>
      <c r="I45" s="50">
        <f>'表3-2｜期出預算附屬表'!G98</f>
        <v>33100</v>
      </c>
      <c r="J45" s="151">
        <f>'表3-2｜期出預算附屬表'!H98</f>
        <v>0.4701704545</v>
      </c>
      <c r="K45" s="124" t="str">
        <f t="shared" si="2"/>
        <v>會費支出：33100</v>
      </c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</row>
    <row r="46">
      <c r="A46" s="87"/>
      <c r="B46" s="100"/>
      <c r="C46" s="72"/>
      <c r="D46" s="100"/>
      <c r="E46" s="116"/>
      <c r="F46" s="101"/>
      <c r="G46" s="50"/>
      <c r="H46" s="103"/>
      <c r="I46" s="104"/>
      <c r="J46" s="49"/>
      <c r="K46" s="91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</row>
    <row r="47">
      <c r="A47" s="140"/>
      <c r="B47" s="141"/>
      <c r="C47" s="142" t="s">
        <v>49</v>
      </c>
      <c r="D47" s="141" t="s">
        <v>47</v>
      </c>
      <c r="E47" s="143"/>
      <c r="F47" s="144" t="s">
        <v>67</v>
      </c>
      <c r="G47" s="145">
        <f>'表3-1｜期入預算附屬表'!G49</f>
        <v>0</v>
      </c>
      <c r="H47" s="146">
        <v>0.0</v>
      </c>
      <c r="I47" s="147">
        <f>'表3-2｜期出預算附屬表'!G106</f>
        <v>30470</v>
      </c>
      <c r="J47" s="148">
        <f>'表3-2｜期出預算附屬表'!H106</f>
        <v>0.1398919247</v>
      </c>
      <c r="K47" s="149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</row>
    <row r="48">
      <c r="A48" s="87"/>
      <c r="B48" s="100"/>
      <c r="C48" s="72"/>
      <c r="D48" s="100" t="s">
        <v>46</v>
      </c>
      <c r="E48" s="116"/>
      <c r="F48" s="101" t="s">
        <v>48</v>
      </c>
      <c r="G48" s="50">
        <v>0.0</v>
      </c>
      <c r="H48" s="127">
        <v>0.0</v>
      </c>
      <c r="I48" s="104">
        <f>'表3-2｜期出預算附屬表'!G107</f>
        <v>5000</v>
      </c>
      <c r="J48" s="58">
        <f>'表3-2｜期出預算附屬表'!H107</f>
        <v>0.164095832</v>
      </c>
      <c r="K48" s="124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</row>
    <row r="49">
      <c r="A49" s="87"/>
      <c r="B49" s="86"/>
      <c r="C49" s="87"/>
      <c r="D49" s="86" t="s">
        <v>49</v>
      </c>
      <c r="E49" s="80"/>
      <c r="F49" s="101" t="s">
        <v>68</v>
      </c>
      <c r="G49" s="50">
        <v>0.0</v>
      </c>
      <c r="H49" s="127">
        <v>0.0</v>
      </c>
      <c r="I49" s="154">
        <f>'表3-2｜期出預算附屬表'!G109</f>
        <v>7910</v>
      </c>
      <c r="J49" s="58">
        <f>'表3-2｜期出預算附屬表'!H109</f>
        <v>0.2595996062</v>
      </c>
      <c r="K49" s="124" t="str">
        <f t="shared" ref="K49:K52" si="3">"會費支出："&amp;(I49-G49)</f>
        <v>會費支出：7910</v>
      </c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</row>
    <row r="50">
      <c r="A50" s="87"/>
      <c r="B50" s="86"/>
      <c r="C50" s="87"/>
      <c r="D50" s="86" t="s">
        <v>51</v>
      </c>
      <c r="E50" s="80"/>
      <c r="F50" s="155" t="s">
        <v>69</v>
      </c>
      <c r="G50" s="50">
        <v>0.0</v>
      </c>
      <c r="H50" s="127">
        <v>0.0</v>
      </c>
      <c r="I50" s="154">
        <f>'表3-2｜期出預算附屬表'!G120</f>
        <v>12030</v>
      </c>
      <c r="J50" s="58">
        <f>'表3-2｜期出預算附屬表'!H120</f>
        <v>0.3948145717</v>
      </c>
      <c r="K50" s="124" t="str">
        <f t="shared" si="3"/>
        <v>會費支出：12030</v>
      </c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</row>
    <row r="51">
      <c r="A51" s="87"/>
      <c r="B51" s="86"/>
      <c r="C51" s="87"/>
      <c r="D51" s="86" t="s">
        <v>53</v>
      </c>
      <c r="E51" s="80"/>
      <c r="F51" s="101" t="s">
        <v>70</v>
      </c>
      <c r="G51" s="50">
        <v>0.0</v>
      </c>
      <c r="H51" s="127">
        <v>0.0</v>
      </c>
      <c r="I51" s="154">
        <f>'表3-2｜期出預算附屬表'!G129</f>
        <v>1220</v>
      </c>
      <c r="J51" s="58">
        <f>'表3-2｜期出預算附屬表'!H129</f>
        <v>0.040039383</v>
      </c>
      <c r="K51" s="124" t="str">
        <f t="shared" si="3"/>
        <v>會費支出：1220</v>
      </c>
      <c r="L51" s="61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</row>
    <row r="52">
      <c r="A52" s="87"/>
      <c r="B52" s="86"/>
      <c r="C52" s="87"/>
      <c r="D52" s="86" t="s">
        <v>55</v>
      </c>
      <c r="E52" s="80"/>
      <c r="F52" s="155" t="s">
        <v>71</v>
      </c>
      <c r="G52" s="50">
        <v>0.0</v>
      </c>
      <c r="H52" s="127">
        <v>0.0</v>
      </c>
      <c r="I52" s="154">
        <f>'表3-2｜期出預算附屬表'!G135</f>
        <v>4310</v>
      </c>
      <c r="J52" s="58">
        <f>'表3-2｜期出預算附屬表'!H135</f>
        <v>0.1414506072</v>
      </c>
      <c r="K52" s="124" t="str">
        <f t="shared" si="3"/>
        <v>會費支出：4310</v>
      </c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</row>
    <row r="53">
      <c r="A53" s="87"/>
      <c r="B53" s="86"/>
      <c r="C53" s="87"/>
      <c r="D53" s="86"/>
      <c r="E53" s="80"/>
      <c r="F53" s="155"/>
      <c r="G53" s="156"/>
      <c r="H53" s="157"/>
      <c r="I53" s="154"/>
      <c r="J53" s="49"/>
      <c r="K53" s="91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</row>
    <row r="54">
      <c r="A54" s="140"/>
      <c r="B54" s="158"/>
      <c r="C54" s="140" t="s">
        <v>51</v>
      </c>
      <c r="D54" s="158" t="s">
        <v>47</v>
      </c>
      <c r="E54" s="159"/>
      <c r="F54" s="160" t="s">
        <v>72</v>
      </c>
      <c r="G54" s="161">
        <f>'表3-1｜期入預算附屬表'!G56</f>
        <v>0</v>
      </c>
      <c r="H54" s="162">
        <v>0.0</v>
      </c>
      <c r="I54" s="163">
        <f>'表3-2｜期出預算附屬表'!G140</f>
        <v>56050</v>
      </c>
      <c r="J54" s="148">
        <f>'表3-2｜期出預算附屬表'!H140</f>
        <v>0.2573331925</v>
      </c>
      <c r="K54" s="149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</row>
    <row r="55">
      <c r="A55" s="87"/>
      <c r="B55" s="86"/>
      <c r="C55" s="87"/>
      <c r="D55" s="100" t="s">
        <v>46</v>
      </c>
      <c r="E55" s="80"/>
      <c r="F55" s="101" t="s">
        <v>48</v>
      </c>
      <c r="G55" s="50">
        <v>0.0</v>
      </c>
      <c r="H55" s="164">
        <v>0.0</v>
      </c>
      <c r="I55" s="154">
        <f>'表3-2｜期出預算附屬表'!G141</f>
        <v>2500</v>
      </c>
      <c r="J55" s="58">
        <f>'表3-2｜期出預算附屬表'!H141</f>
        <v>0.04460303301</v>
      </c>
      <c r="K55" s="91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</row>
    <row r="56">
      <c r="A56" s="87"/>
      <c r="B56" s="86"/>
      <c r="C56" s="87"/>
      <c r="D56" s="86" t="s">
        <v>49</v>
      </c>
      <c r="E56" s="80"/>
      <c r="F56" s="165" t="s">
        <v>73</v>
      </c>
      <c r="G56" s="50">
        <v>0.0</v>
      </c>
      <c r="H56" s="164">
        <v>0.0</v>
      </c>
      <c r="I56" s="154">
        <f>'表3-2｜期出預算附屬表'!G144</f>
        <v>10310</v>
      </c>
      <c r="J56" s="58">
        <f>'表3-2｜期出預算附屬表'!H144</f>
        <v>0.1839429081</v>
      </c>
      <c r="K56" s="124" t="str">
        <f t="shared" ref="K56:K58" si="4">"會費支出："&amp;(I56-G56)</f>
        <v>會費支出：10310</v>
      </c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</row>
    <row r="57">
      <c r="A57" s="87"/>
      <c r="B57" s="86"/>
      <c r="C57" s="87"/>
      <c r="D57" s="100" t="s">
        <v>51</v>
      </c>
      <c r="E57" s="80"/>
      <c r="F57" s="166" t="s">
        <v>74</v>
      </c>
      <c r="G57" s="50">
        <v>0.0</v>
      </c>
      <c r="H57" s="164">
        <v>0.0</v>
      </c>
      <c r="I57" s="154">
        <f>'表3-2｜期出預算附屬表'!G153</f>
        <v>2250</v>
      </c>
      <c r="J57" s="58">
        <f>'表3-2｜期出預算附屬表'!H153</f>
        <v>0.04014272971</v>
      </c>
      <c r="K57" s="124" t="str">
        <f t="shared" si="4"/>
        <v>會費支出：2250</v>
      </c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</row>
    <row r="58">
      <c r="A58" s="87"/>
      <c r="B58" s="86"/>
      <c r="C58" s="87"/>
      <c r="D58" s="100" t="s">
        <v>53</v>
      </c>
      <c r="E58" s="80"/>
      <c r="F58" s="101" t="s">
        <v>75</v>
      </c>
      <c r="G58" s="50">
        <v>0.0</v>
      </c>
      <c r="H58" s="164">
        <v>0.0</v>
      </c>
      <c r="I58" s="154">
        <f>'表3-2｜期出預算附屬表'!G157</f>
        <v>40990</v>
      </c>
      <c r="J58" s="58">
        <f>'表3-2｜期出預算附屬表'!H157</f>
        <v>0.7313113292</v>
      </c>
      <c r="K58" s="124" t="str">
        <f t="shared" si="4"/>
        <v>會費支出：40990</v>
      </c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</row>
    <row r="59">
      <c r="A59" s="87"/>
      <c r="B59" s="86"/>
      <c r="C59" s="87"/>
      <c r="D59" s="86"/>
      <c r="E59" s="80"/>
      <c r="F59" s="155"/>
      <c r="G59" s="156"/>
      <c r="H59" s="157"/>
      <c r="I59" s="154"/>
      <c r="J59" s="49"/>
      <c r="K59" s="91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</row>
    <row r="60">
      <c r="A60" s="140"/>
      <c r="B60" s="158"/>
      <c r="C60" s="140" t="s">
        <v>53</v>
      </c>
      <c r="D60" s="158" t="s">
        <v>47</v>
      </c>
      <c r="E60" s="159"/>
      <c r="F60" s="160" t="s">
        <v>76</v>
      </c>
      <c r="G60" s="161">
        <f>'表3-1｜期入預算附屬表'!G63</f>
        <v>0</v>
      </c>
      <c r="H60" s="162">
        <v>0.0</v>
      </c>
      <c r="I60" s="163">
        <f>'表3-2｜期出預算附屬表'!G172</f>
        <v>40000</v>
      </c>
      <c r="J60" s="148">
        <f>'表3-2｜期出預算附屬表'!H172</f>
        <v>0.1836454541</v>
      </c>
      <c r="K60" s="149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50"/>
      <c r="AB60" s="150"/>
      <c r="AC60" s="150"/>
      <c r="AD60" s="150"/>
    </row>
    <row r="61">
      <c r="A61" s="87"/>
      <c r="B61" s="86"/>
      <c r="C61" s="87"/>
      <c r="D61" s="100" t="s">
        <v>46</v>
      </c>
      <c r="E61" s="80"/>
      <c r="F61" s="101" t="s">
        <v>48</v>
      </c>
      <c r="G61" s="50">
        <v>0.0</v>
      </c>
      <c r="H61" s="164">
        <v>0.0</v>
      </c>
      <c r="I61" s="154">
        <f>'表3-2｜期出預算附屬表'!G173</f>
        <v>2500</v>
      </c>
      <c r="J61" s="58">
        <f>'表3-2｜期出預算附屬表'!H173</f>
        <v>0.0625</v>
      </c>
      <c r="K61" s="91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</row>
    <row r="62">
      <c r="A62" s="87"/>
      <c r="B62" s="86"/>
      <c r="C62" s="87"/>
      <c r="D62" s="86" t="s">
        <v>49</v>
      </c>
      <c r="E62" s="80"/>
      <c r="F62" s="155" t="s">
        <v>77</v>
      </c>
      <c r="G62" s="50">
        <v>0.0</v>
      </c>
      <c r="H62" s="164">
        <v>0.0</v>
      </c>
      <c r="I62" s="154">
        <f>'表3-2｜期出預算附屬表'!G175</f>
        <v>6280</v>
      </c>
      <c r="J62" s="58">
        <f>'表3-2｜期出預算附屬表'!H175</f>
        <v>0.157</v>
      </c>
      <c r="K62" s="124" t="str">
        <f t="shared" ref="K62:K66" si="5">"會費支出："&amp;(I62-G62)</f>
        <v>會費支出：6280</v>
      </c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</row>
    <row r="63">
      <c r="A63" s="87"/>
      <c r="B63" s="86"/>
      <c r="C63" s="87"/>
      <c r="D63" s="86" t="s">
        <v>51</v>
      </c>
      <c r="E63" s="80"/>
      <c r="F63" s="155" t="s">
        <v>78</v>
      </c>
      <c r="G63" s="50">
        <v>0.0</v>
      </c>
      <c r="H63" s="164">
        <v>0.0</v>
      </c>
      <c r="I63" s="154">
        <f>'表3-2｜期出預算附屬表'!G179</f>
        <v>18500</v>
      </c>
      <c r="J63" s="58">
        <f>'表3-2｜期出預算附屬表'!H179</f>
        <v>0.4625</v>
      </c>
      <c r="K63" s="124" t="str">
        <f t="shared" si="5"/>
        <v>會費支出：18500</v>
      </c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</row>
    <row r="64">
      <c r="A64" s="87"/>
      <c r="B64" s="86"/>
      <c r="C64" s="87"/>
      <c r="D64" s="86" t="s">
        <v>53</v>
      </c>
      <c r="E64" s="80"/>
      <c r="F64" s="155" t="s">
        <v>79</v>
      </c>
      <c r="G64" s="50">
        <v>0.0</v>
      </c>
      <c r="H64" s="164">
        <v>0.0</v>
      </c>
      <c r="I64" s="154">
        <f>'表3-2｜期出預算附屬表'!G185</f>
        <v>4890</v>
      </c>
      <c r="J64" s="58">
        <f>'表3-2｜期出預算附屬表'!H185</f>
        <v>0.12225</v>
      </c>
      <c r="K64" s="124" t="str">
        <f t="shared" si="5"/>
        <v>會費支出：4890</v>
      </c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</row>
    <row r="65">
      <c r="A65" s="87"/>
      <c r="B65" s="86"/>
      <c r="C65" s="87"/>
      <c r="D65" s="100" t="s">
        <v>55</v>
      </c>
      <c r="E65" s="80"/>
      <c r="F65" s="155" t="s">
        <v>80</v>
      </c>
      <c r="G65" s="50">
        <v>0.0</v>
      </c>
      <c r="H65" s="164">
        <v>0.0</v>
      </c>
      <c r="I65" s="154">
        <f>'表3-2｜期出預算附屬表'!G192</f>
        <v>4890</v>
      </c>
      <c r="J65" s="58">
        <f>'表3-2｜期出預算附屬表'!H192</f>
        <v>0.12225</v>
      </c>
      <c r="K65" s="124" t="str">
        <f t="shared" si="5"/>
        <v>會費支出：4890</v>
      </c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</row>
    <row r="66">
      <c r="A66" s="87"/>
      <c r="B66" s="86"/>
      <c r="C66" s="87"/>
      <c r="D66" s="100" t="s">
        <v>57</v>
      </c>
      <c r="E66" s="80"/>
      <c r="F66" s="155" t="s">
        <v>81</v>
      </c>
      <c r="G66" s="50">
        <v>0.0</v>
      </c>
      <c r="H66" s="164">
        <v>0.0</v>
      </c>
      <c r="I66" s="154">
        <f>'表3-2｜期出預算附屬表'!G199</f>
        <v>2940</v>
      </c>
      <c r="J66" s="58">
        <f>'表3-2｜期出預算附屬表'!H199</f>
        <v>0.0735</v>
      </c>
      <c r="K66" s="124" t="str">
        <f t="shared" si="5"/>
        <v>會費支出：2940</v>
      </c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</row>
    <row r="67">
      <c r="A67" s="87"/>
      <c r="B67" s="86"/>
      <c r="C67" s="87"/>
      <c r="D67" s="86"/>
      <c r="E67" s="80"/>
      <c r="F67" s="155"/>
      <c r="G67" s="156"/>
      <c r="H67" s="157"/>
      <c r="I67" s="154"/>
      <c r="J67" s="49"/>
      <c r="K67" s="91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</row>
    <row r="68">
      <c r="A68" s="87"/>
      <c r="B68" s="86"/>
      <c r="C68" s="87" t="s">
        <v>59</v>
      </c>
      <c r="D68" s="86" t="s">
        <v>59</v>
      </c>
      <c r="E68" s="80"/>
      <c r="F68" s="155" t="s">
        <v>60</v>
      </c>
      <c r="G68" s="50">
        <v>0.0</v>
      </c>
      <c r="H68" s="164">
        <v>0.0</v>
      </c>
      <c r="I68" s="154">
        <f>'表3-2｜期出預算附屬表'!G203</f>
        <v>10891</v>
      </c>
      <c r="J68" s="58">
        <f>'表3-2｜期出預算附屬表'!H203</f>
        <v>0.05000206601</v>
      </c>
      <c r="K68" s="91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</row>
    <row r="69">
      <c r="A69" s="87"/>
      <c r="B69" s="86"/>
      <c r="C69" s="87"/>
      <c r="D69" s="86"/>
      <c r="E69" s="80"/>
      <c r="F69" s="155"/>
      <c r="G69" s="156"/>
      <c r="H69" s="157"/>
      <c r="I69" s="154"/>
      <c r="J69" s="49"/>
      <c r="K69" s="91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</row>
    <row r="70">
      <c r="A70" s="87"/>
      <c r="B70" s="86"/>
      <c r="C70" s="87"/>
      <c r="D70" s="86"/>
      <c r="E70" s="80"/>
      <c r="F70" s="155"/>
      <c r="G70" s="156"/>
      <c r="H70" s="157"/>
      <c r="I70" s="154"/>
      <c r="J70" s="49"/>
      <c r="K70" s="91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</row>
    <row r="71">
      <c r="A71" s="136"/>
      <c r="B71" s="106" t="s">
        <v>57</v>
      </c>
      <c r="C71" s="107" t="s">
        <v>47</v>
      </c>
      <c r="D71" s="106" t="s">
        <v>47</v>
      </c>
      <c r="E71" s="108"/>
      <c r="F71" s="109" t="s">
        <v>22</v>
      </c>
      <c r="G71" s="132">
        <v>0.0</v>
      </c>
      <c r="H71" s="111">
        <v>0.0</v>
      </c>
      <c r="I71" s="112">
        <f>'表3-2｜期出預算附屬表'!G206</f>
        <v>158663</v>
      </c>
      <c r="J71" s="167">
        <f>'表3-2｜期出預算附屬表'!H206</f>
        <v>0.1340177853</v>
      </c>
      <c r="K71" s="133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</row>
    <row r="72">
      <c r="A72" s="87"/>
      <c r="B72" s="100"/>
      <c r="C72" s="72"/>
      <c r="D72" s="100"/>
      <c r="E72" s="116"/>
      <c r="F72" s="101"/>
      <c r="G72" s="50"/>
      <c r="H72" s="103"/>
      <c r="I72" s="104"/>
      <c r="J72" s="49"/>
      <c r="K72" s="91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</row>
    <row r="73">
      <c r="A73" s="87"/>
      <c r="B73" s="86"/>
      <c r="C73" s="87" t="s">
        <v>47</v>
      </c>
      <c r="D73" s="86" t="s">
        <v>49</v>
      </c>
      <c r="E73" s="80"/>
      <c r="F73" s="101" t="s">
        <v>82</v>
      </c>
      <c r="G73" s="50">
        <v>0.0</v>
      </c>
      <c r="H73" s="164">
        <v>0.0</v>
      </c>
      <c r="I73" s="154">
        <f>'表3-2｜期出預算附屬表'!G207</f>
        <v>150730</v>
      </c>
      <c r="J73" s="58">
        <f>'表3-2｜期出預算附屬表'!H207</f>
        <v>0.9500009454</v>
      </c>
      <c r="K73" s="124" t="str">
        <f>"會費支出："&amp;(I73-G73)</f>
        <v>會費支出：150730</v>
      </c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</row>
    <row r="74">
      <c r="A74" s="87"/>
      <c r="B74" s="86"/>
      <c r="C74" s="87" t="s">
        <v>59</v>
      </c>
      <c r="D74" s="86" t="s">
        <v>59</v>
      </c>
      <c r="E74" s="80"/>
      <c r="F74" s="155" t="s">
        <v>60</v>
      </c>
      <c r="G74" s="50">
        <v>0.0</v>
      </c>
      <c r="H74" s="164">
        <v>0.0</v>
      </c>
      <c r="I74" s="154">
        <f>'表3-2｜期出預算附屬表'!G214</f>
        <v>7933</v>
      </c>
      <c r="J74" s="58">
        <f>'表3-2｜期出預算附屬表'!H214</f>
        <v>0.0499990546</v>
      </c>
      <c r="K74" s="91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</row>
    <row r="75">
      <c r="A75" s="87"/>
      <c r="B75" s="86"/>
      <c r="C75" s="87"/>
      <c r="D75" s="86"/>
      <c r="E75" s="80"/>
      <c r="F75" s="155"/>
      <c r="G75" s="156"/>
      <c r="H75" s="157"/>
      <c r="I75" s="154"/>
      <c r="J75" s="49"/>
      <c r="K75" s="91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</row>
    <row r="76">
      <c r="A76" s="136"/>
      <c r="B76" s="168" t="s">
        <v>83</v>
      </c>
      <c r="C76" s="136" t="s">
        <v>47</v>
      </c>
      <c r="D76" s="168" t="s">
        <v>47</v>
      </c>
      <c r="E76" s="169"/>
      <c r="F76" s="170" t="s">
        <v>23</v>
      </c>
      <c r="G76" s="171">
        <v>0.0</v>
      </c>
      <c r="H76" s="172">
        <v>0.0</v>
      </c>
      <c r="I76" s="173">
        <f>'表3-2｜期出預算附屬表'!G217</f>
        <v>25684</v>
      </c>
      <c r="J76" s="167">
        <f>'表3-2｜期出預算附屬表'!H217</f>
        <v>0.02169448956</v>
      </c>
      <c r="K76" s="114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</row>
    <row r="77">
      <c r="A77" s="87"/>
      <c r="B77" s="100"/>
      <c r="C77" s="72"/>
      <c r="D77" s="100"/>
      <c r="E77" s="116"/>
      <c r="F77" s="101"/>
      <c r="G77" s="50"/>
      <c r="H77" s="103"/>
      <c r="I77" s="104"/>
      <c r="J77" s="49"/>
      <c r="K77" s="91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</row>
    <row r="78">
      <c r="A78" s="87"/>
      <c r="B78" s="86"/>
      <c r="C78" s="87" t="s">
        <v>47</v>
      </c>
      <c r="D78" s="86" t="s">
        <v>46</v>
      </c>
      <c r="E78" s="80"/>
      <c r="F78" s="155" t="s">
        <v>48</v>
      </c>
      <c r="G78" s="174">
        <v>0.0</v>
      </c>
      <c r="H78" s="6">
        <v>0.0</v>
      </c>
      <c r="I78" s="154">
        <f>'表3-2｜期出預算附屬表'!G218</f>
        <v>24400</v>
      </c>
      <c r="J78" s="58">
        <f>'表3-2｜期出預算附屬表'!H218</f>
        <v>0.9500077869</v>
      </c>
      <c r="K78" s="91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</row>
    <row r="79">
      <c r="A79" s="87"/>
      <c r="B79" s="86"/>
      <c r="C79" s="87" t="s">
        <v>59</v>
      </c>
      <c r="D79" s="86" t="s">
        <v>59</v>
      </c>
      <c r="E79" s="80"/>
      <c r="F79" s="155" t="s">
        <v>60</v>
      </c>
      <c r="G79" s="174">
        <v>0.0</v>
      </c>
      <c r="H79" s="6">
        <v>0.0</v>
      </c>
      <c r="I79" s="154">
        <f>'表3-2｜期出預算附屬表'!G221</f>
        <v>5000</v>
      </c>
      <c r="J79" s="58">
        <f>'表3-2｜期出預算附屬表'!H221</f>
        <v>0.2049180328</v>
      </c>
      <c r="K79" s="91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</row>
    <row r="80">
      <c r="A80" s="87"/>
      <c r="B80" s="100"/>
      <c r="C80" s="72"/>
      <c r="D80" s="100"/>
      <c r="E80" s="116"/>
      <c r="F80" s="101"/>
      <c r="G80" s="50"/>
      <c r="H80" s="103"/>
      <c r="I80" s="104"/>
      <c r="J80" s="49"/>
      <c r="K80" s="91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</row>
    <row r="81">
      <c r="A81" s="105"/>
      <c r="B81" s="175" t="s">
        <v>84</v>
      </c>
      <c r="C81" s="105" t="s">
        <v>47</v>
      </c>
      <c r="D81" s="175" t="s">
        <v>47</v>
      </c>
      <c r="E81" s="176"/>
      <c r="F81" s="177" t="s">
        <v>24</v>
      </c>
      <c r="G81" s="178">
        <f>'表3-1｜期入預算附屬表'!G83</f>
        <v>50000</v>
      </c>
      <c r="H81" s="179">
        <f>G81/G7</f>
        <v>0.02633196284</v>
      </c>
      <c r="I81" s="180">
        <f>'表3-2｜期出預算附屬表'!G225</f>
        <v>376232</v>
      </c>
      <c r="J81" s="181">
        <f>'表3-2｜期出預算附屬表'!H225</f>
        <v>0.3177916678</v>
      </c>
      <c r="K81" s="182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  <c r="AC81" s="183"/>
      <c r="AD81" s="183"/>
    </row>
    <row r="82">
      <c r="A82" s="87"/>
      <c r="B82" s="100"/>
      <c r="C82" s="72"/>
      <c r="D82" s="100"/>
      <c r="E82" s="116"/>
      <c r="F82" s="101"/>
      <c r="G82" s="50"/>
      <c r="H82" s="103"/>
      <c r="I82" s="104"/>
      <c r="J82" s="49"/>
      <c r="K82" s="91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</row>
    <row r="83">
      <c r="A83" s="87"/>
      <c r="B83" s="86"/>
      <c r="C83" s="87" t="s">
        <v>47</v>
      </c>
      <c r="D83" s="86" t="s">
        <v>46</v>
      </c>
      <c r="E83" s="80"/>
      <c r="F83" s="155" t="s">
        <v>48</v>
      </c>
      <c r="G83" s="156">
        <f>'表3-1｜期入預算附屬表'!G85</f>
        <v>10000</v>
      </c>
      <c r="H83" s="157">
        <f t="shared" ref="H83:H84" si="6">G83/$G$81</f>
        <v>0.2</v>
      </c>
      <c r="I83" s="154">
        <f>'表3-2｜期出預算附屬表'!G226</f>
        <v>45000</v>
      </c>
      <c r="J83" s="58">
        <f>'表3-2｜期出預算附屬表'!H226</f>
        <v>0.119607051</v>
      </c>
      <c r="K83" s="91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</row>
    <row r="84">
      <c r="A84" s="87"/>
      <c r="B84" s="86"/>
      <c r="C84" s="87" t="s">
        <v>47</v>
      </c>
      <c r="D84" s="86" t="s">
        <v>49</v>
      </c>
      <c r="E84" s="80"/>
      <c r="F84" s="155" t="s">
        <v>85</v>
      </c>
      <c r="G84" s="156">
        <f>'表3-1｜期入預算附屬表'!G87</f>
        <v>40000</v>
      </c>
      <c r="H84" s="157">
        <f t="shared" si="6"/>
        <v>0.8</v>
      </c>
      <c r="I84" s="154">
        <f>'表3-2｜期出預算附屬表'!G239</f>
        <v>312420</v>
      </c>
      <c r="J84" s="58">
        <f>'表3-2｜期出預算附屬表'!H239</f>
        <v>0.8303918859</v>
      </c>
      <c r="K84" s="91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</row>
    <row r="85">
      <c r="A85" s="87"/>
      <c r="B85" s="86"/>
      <c r="C85" s="87" t="s">
        <v>59</v>
      </c>
      <c r="D85" s="86" t="s">
        <v>59</v>
      </c>
      <c r="E85" s="80"/>
      <c r="F85" s="155" t="s">
        <v>60</v>
      </c>
      <c r="G85" s="174">
        <v>0.0</v>
      </c>
      <c r="H85" s="6">
        <v>0.0</v>
      </c>
      <c r="I85" s="184">
        <f>'表3-2｜期出預算附屬表'!G254</f>
        <v>18812</v>
      </c>
      <c r="J85" s="58">
        <f>'表3-2｜期出預算附屬表'!H254</f>
        <v>0.05000106317</v>
      </c>
      <c r="K85" s="91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</row>
    <row r="86">
      <c r="A86" s="87"/>
      <c r="B86" s="100"/>
      <c r="C86" s="72"/>
      <c r="D86" s="100"/>
      <c r="E86" s="116"/>
      <c r="F86" s="101"/>
      <c r="G86" s="50"/>
      <c r="H86" s="103"/>
      <c r="I86" s="104"/>
      <c r="J86" s="49"/>
      <c r="K86" s="91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</row>
    <row r="87">
      <c r="A87" s="136"/>
      <c r="B87" s="106" t="s">
        <v>59</v>
      </c>
      <c r="C87" s="107" t="s">
        <v>47</v>
      </c>
      <c r="D87" s="106" t="s">
        <v>47</v>
      </c>
      <c r="E87" s="108"/>
      <c r="F87" s="109" t="s">
        <v>25</v>
      </c>
      <c r="G87" s="132">
        <f>'表3-1｜期入預算附屬表'!G91</f>
        <v>0</v>
      </c>
      <c r="H87" s="111">
        <v>0.0</v>
      </c>
      <c r="I87" s="132">
        <f>'表3-2｜期出預算附屬表'!G257</f>
        <v>104705</v>
      </c>
      <c r="J87" s="113">
        <f>'表3-2｜期出預算附屬表'!H257</f>
        <v>0.08844111234</v>
      </c>
      <c r="K87" s="133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</row>
    <row r="88">
      <c r="A88" s="87"/>
      <c r="B88" s="100"/>
      <c r="C88" s="185"/>
      <c r="D88" s="186"/>
      <c r="E88" s="187"/>
      <c r="F88" s="188"/>
      <c r="G88" s="50"/>
      <c r="H88" s="103"/>
      <c r="I88" s="104"/>
      <c r="J88" s="49"/>
      <c r="K88" s="91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</row>
    <row r="89">
      <c r="A89" s="87"/>
      <c r="B89" s="100"/>
      <c r="C89" s="189" t="s">
        <v>47</v>
      </c>
      <c r="D89" s="189" t="s">
        <v>46</v>
      </c>
      <c r="E89" s="190"/>
      <c r="F89" s="191" t="s">
        <v>48</v>
      </c>
      <c r="G89" s="50">
        <f>'表3-1｜期入預算附屬表'!G93</f>
        <v>0</v>
      </c>
      <c r="H89" s="6">
        <v>0.0</v>
      </c>
      <c r="I89" s="104">
        <f>'表3-2｜期出預算附屬表'!G258</f>
        <v>44870</v>
      </c>
      <c r="J89" s="58">
        <f>'表3-2｜期出預算附屬表'!H258</f>
        <v>0.4285373191</v>
      </c>
      <c r="K89" s="13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  <c r="AB89" s="125"/>
      <c r="AC89" s="125"/>
      <c r="AD89" s="125"/>
    </row>
    <row r="90">
      <c r="A90" s="87"/>
      <c r="B90" s="100"/>
      <c r="C90" s="189"/>
      <c r="D90" s="192"/>
      <c r="E90" s="189"/>
      <c r="F90" s="191"/>
      <c r="G90" s="50"/>
      <c r="H90" s="103"/>
      <c r="I90" s="104"/>
      <c r="J90" s="49"/>
      <c r="K90" s="91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</row>
    <row r="91">
      <c r="A91" s="87"/>
      <c r="B91" s="100"/>
      <c r="C91" s="189" t="s">
        <v>46</v>
      </c>
      <c r="D91" s="189" t="s">
        <v>47</v>
      </c>
      <c r="E91" s="190"/>
      <c r="F91" s="191" t="s">
        <v>86</v>
      </c>
      <c r="G91" s="50">
        <f>'表3-1｜期入預算附屬表'!G95</f>
        <v>0</v>
      </c>
      <c r="H91" s="6">
        <v>0.0</v>
      </c>
      <c r="I91" s="104">
        <f>'表3-2｜期出預算附屬表'!G265</f>
        <v>26200</v>
      </c>
      <c r="J91" s="58">
        <f>'表3-2｜期出預算附屬表'!H265</f>
        <v>0.2502268278</v>
      </c>
      <c r="K91" s="13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125"/>
      <c r="AD91" s="125"/>
    </row>
    <row r="92">
      <c r="A92" s="87"/>
      <c r="B92" s="100"/>
      <c r="C92" s="190"/>
      <c r="D92" s="189" t="s">
        <v>46</v>
      </c>
      <c r="E92" s="190"/>
      <c r="F92" s="193" t="s">
        <v>87</v>
      </c>
      <c r="G92" s="50">
        <v>0.0</v>
      </c>
      <c r="H92" s="6">
        <v>0.0</v>
      </c>
      <c r="I92" s="104">
        <f>'表3-2｜期出預算附屬表'!G266</f>
        <v>26200</v>
      </c>
      <c r="J92" s="58">
        <f>'表3-2｜期出預算附屬表'!H266</f>
        <v>1</v>
      </c>
      <c r="K92" s="124" t="str">
        <f>"會費支出："&amp;(I92-G92)</f>
        <v>會費支出：26200</v>
      </c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</row>
    <row r="93">
      <c r="A93" s="87"/>
      <c r="B93" s="86"/>
      <c r="C93" s="190"/>
      <c r="D93" s="190"/>
      <c r="E93" s="190"/>
      <c r="F93" s="191"/>
      <c r="G93" s="174"/>
      <c r="H93" s="157"/>
      <c r="I93" s="154"/>
      <c r="J93" s="58"/>
      <c r="K93" s="13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</row>
    <row r="94">
      <c r="A94" s="87"/>
      <c r="B94" s="86"/>
      <c r="C94" s="189" t="s">
        <v>49</v>
      </c>
      <c r="D94" s="192" t="s">
        <v>47</v>
      </c>
      <c r="E94" s="190"/>
      <c r="F94" s="191" t="s">
        <v>88</v>
      </c>
      <c r="G94" s="50">
        <v>0.0</v>
      </c>
      <c r="H94" s="6">
        <v>0.0</v>
      </c>
      <c r="I94" s="154">
        <f>'表3-2｜期出預算附屬表'!G273</f>
        <v>28400</v>
      </c>
      <c r="J94" s="58">
        <f>'表3-2｜期出預算附屬表'!H273</f>
        <v>0.2712382408</v>
      </c>
      <c r="K94" s="91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</row>
    <row r="95">
      <c r="A95" s="87"/>
      <c r="B95" s="100"/>
      <c r="C95" s="190"/>
      <c r="D95" s="192" t="s">
        <v>46</v>
      </c>
      <c r="E95" s="190"/>
      <c r="F95" s="194" t="s">
        <v>89</v>
      </c>
      <c r="G95" s="50">
        <v>0.0</v>
      </c>
      <c r="H95" s="6">
        <v>0.0</v>
      </c>
      <c r="I95" s="104">
        <f>'表3-2｜期出預算附屬表'!G274</f>
        <v>7500</v>
      </c>
      <c r="J95" s="58">
        <f>'表3-2｜期出預算附屬表'!H274</f>
        <v>0.264084507</v>
      </c>
      <c r="K95" s="124" t="str">
        <f t="shared" ref="K95:K97" si="7">"會費支出："&amp;(I95-G95)</f>
        <v>會費支出：7500</v>
      </c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  <c r="AB95" s="125"/>
      <c r="AC95" s="125"/>
      <c r="AD95" s="125"/>
    </row>
    <row r="96">
      <c r="A96" s="87"/>
      <c r="B96" s="86"/>
      <c r="C96" s="190"/>
      <c r="D96" s="192" t="s">
        <v>49</v>
      </c>
      <c r="E96" s="190"/>
      <c r="F96" s="194" t="s">
        <v>90</v>
      </c>
      <c r="G96" s="174">
        <v>0.0</v>
      </c>
      <c r="H96" s="6">
        <v>0.0</v>
      </c>
      <c r="I96" s="154">
        <f>'表3-2｜期出預算附屬表'!G281</f>
        <v>10900</v>
      </c>
      <c r="J96" s="58">
        <f>'表3-2｜期出預算附屬表'!H281</f>
        <v>0.3838028169</v>
      </c>
      <c r="K96" s="124" t="str">
        <f t="shared" si="7"/>
        <v>會費支出：10900</v>
      </c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  <c r="AB96" s="125"/>
      <c r="AC96" s="125"/>
      <c r="AD96" s="125"/>
    </row>
    <row r="97">
      <c r="A97" s="87"/>
      <c r="B97" s="86"/>
      <c r="C97" s="190"/>
      <c r="D97" s="195" t="s">
        <v>51</v>
      </c>
      <c r="E97" s="190"/>
      <c r="F97" s="194" t="s">
        <v>91</v>
      </c>
      <c r="G97" s="50">
        <v>0.0</v>
      </c>
      <c r="H97" s="6">
        <v>0.0</v>
      </c>
      <c r="I97" s="154">
        <f>'表3-2｜期出預算附屬表'!G289</f>
        <v>10000</v>
      </c>
      <c r="J97" s="58">
        <f>'表3-2｜期出預算附屬表'!H289</f>
        <v>0.3521126761</v>
      </c>
      <c r="K97" s="124" t="str">
        <f t="shared" si="7"/>
        <v>會費支出：10000</v>
      </c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  <c r="AB97" s="125"/>
      <c r="AC97" s="125"/>
      <c r="AD97" s="125"/>
    </row>
    <row r="98">
      <c r="A98" s="87"/>
      <c r="B98" s="100"/>
      <c r="C98" s="189"/>
      <c r="D98" s="192"/>
      <c r="E98" s="190"/>
      <c r="F98" s="191"/>
      <c r="G98" s="50"/>
      <c r="H98" s="103"/>
      <c r="I98" s="104"/>
      <c r="J98" s="49"/>
      <c r="K98" s="13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  <c r="AB98" s="125"/>
      <c r="AC98" s="125"/>
      <c r="AD98" s="125"/>
    </row>
    <row r="99">
      <c r="A99" s="87"/>
      <c r="B99" s="100"/>
      <c r="C99" s="189" t="s">
        <v>59</v>
      </c>
      <c r="D99" s="189" t="s">
        <v>59</v>
      </c>
      <c r="E99" s="190"/>
      <c r="F99" s="191" t="s">
        <v>60</v>
      </c>
      <c r="G99" s="50">
        <f>'表3-1｜期入預算附屬表'!G98</f>
        <v>0</v>
      </c>
      <c r="H99" s="6">
        <v>0.0</v>
      </c>
      <c r="I99" s="104">
        <f>'表3-2｜期出預算附屬表'!G296</f>
        <v>5235</v>
      </c>
      <c r="J99" s="58">
        <f>'表3-2｜期出預算附屬表'!H296</f>
        <v>0.04999761234</v>
      </c>
      <c r="K99" s="13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  <c r="AB99" s="125"/>
      <c r="AC99" s="125"/>
      <c r="AD99" s="125"/>
    </row>
    <row r="100">
      <c r="A100" s="87"/>
      <c r="B100" s="100"/>
      <c r="C100" s="196"/>
      <c r="D100" s="186"/>
      <c r="E100" s="187"/>
      <c r="F100" s="188"/>
      <c r="G100" s="50"/>
      <c r="H100" s="103"/>
      <c r="I100" s="104"/>
      <c r="J100" s="49"/>
      <c r="K100" s="91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</row>
    <row r="101">
      <c r="A101" s="136"/>
      <c r="B101" s="106" t="s">
        <v>26</v>
      </c>
      <c r="C101" s="107" t="s">
        <v>47</v>
      </c>
      <c r="D101" s="106" t="s">
        <v>47</v>
      </c>
      <c r="E101" s="108"/>
      <c r="F101" s="109" t="s">
        <v>27</v>
      </c>
      <c r="G101" s="132">
        <f>'表3-1｜期入預算附屬表'!G105</f>
        <v>0</v>
      </c>
      <c r="H101" s="111">
        <v>0.0</v>
      </c>
      <c r="I101" s="132">
        <f>'表3-2｜期出預算附屬表'!G299</f>
        <v>40853</v>
      </c>
      <c r="J101" s="113">
        <f>'表3-2｜期出預算附屬表'!H299</f>
        <v>0.03450728009</v>
      </c>
      <c r="K101" s="133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  <c r="AA101" s="134"/>
      <c r="AB101" s="134"/>
      <c r="AC101" s="134"/>
      <c r="AD101" s="134"/>
    </row>
    <row r="102">
      <c r="A102" s="87"/>
      <c r="B102" s="100"/>
      <c r="C102" s="186"/>
      <c r="D102" s="186"/>
      <c r="E102" s="187"/>
      <c r="F102" s="188"/>
      <c r="G102" s="50"/>
      <c r="H102" s="103"/>
      <c r="I102" s="104"/>
      <c r="J102" s="49"/>
      <c r="K102" s="91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</row>
    <row r="103">
      <c r="A103" s="87"/>
      <c r="B103" s="100"/>
      <c r="C103" s="189" t="s">
        <v>47</v>
      </c>
      <c r="D103" s="189" t="s">
        <v>46</v>
      </c>
      <c r="E103" s="190"/>
      <c r="F103" s="191" t="s">
        <v>48</v>
      </c>
      <c r="G103" s="50">
        <v>0.0</v>
      </c>
      <c r="H103" s="6">
        <v>0.0</v>
      </c>
      <c r="I103" s="104">
        <f>'表3-2｜期出預算附屬表'!G300</f>
        <v>1900</v>
      </c>
      <c r="J103" s="58">
        <f>'表3-2｜期出預算附屬表'!H300</f>
        <v>0.04650821237</v>
      </c>
      <c r="K103" s="13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  <c r="AA103" s="125"/>
      <c r="AB103" s="125"/>
      <c r="AC103" s="125"/>
      <c r="AD103" s="125"/>
    </row>
    <row r="104">
      <c r="A104" s="87"/>
      <c r="B104" s="100"/>
      <c r="C104" s="189" t="s">
        <v>47</v>
      </c>
      <c r="D104" s="189" t="s">
        <v>49</v>
      </c>
      <c r="E104" s="190"/>
      <c r="F104" s="194" t="s">
        <v>92</v>
      </c>
      <c r="G104" s="50">
        <v>0.0</v>
      </c>
      <c r="H104" s="6">
        <v>0.0</v>
      </c>
      <c r="I104" s="104">
        <f>'表3-2｜期出預算附屬表'!G302</f>
        <v>4940</v>
      </c>
      <c r="J104" s="58">
        <f>'表3-2｜期出預算附屬表'!H302</f>
        <v>0.1209213522</v>
      </c>
      <c r="K104" s="124" t="str">
        <f t="shared" ref="K104:K110" si="8">"會費支出："&amp;(I104-G104)</f>
        <v>會費支出：4940</v>
      </c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  <c r="AB104" s="125"/>
      <c r="AC104" s="125"/>
      <c r="AD104" s="125"/>
    </row>
    <row r="105">
      <c r="A105" s="87"/>
      <c r="B105" s="100"/>
      <c r="C105" s="189" t="s">
        <v>47</v>
      </c>
      <c r="D105" s="189" t="s">
        <v>51</v>
      </c>
      <c r="E105" s="190"/>
      <c r="F105" s="194" t="s">
        <v>93</v>
      </c>
      <c r="G105" s="50">
        <v>0.0</v>
      </c>
      <c r="H105" s="6">
        <v>0.0</v>
      </c>
      <c r="I105" s="104">
        <f>'表3-2｜期出預算附屬表'!G307</f>
        <v>4560</v>
      </c>
      <c r="J105" s="58">
        <f>'表3-2｜期出預算附屬表'!H307</f>
        <v>0.1116197097</v>
      </c>
      <c r="K105" s="124" t="str">
        <f t="shared" si="8"/>
        <v>會費支出：4560</v>
      </c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</row>
    <row r="106">
      <c r="A106" s="87"/>
      <c r="B106" s="100"/>
      <c r="C106" s="189" t="s">
        <v>47</v>
      </c>
      <c r="D106" s="189" t="s">
        <v>53</v>
      </c>
      <c r="E106" s="190"/>
      <c r="F106" s="194" t="s">
        <v>94</v>
      </c>
      <c r="G106" s="50">
        <v>0.0</v>
      </c>
      <c r="H106" s="6">
        <v>0.0</v>
      </c>
      <c r="I106" s="104">
        <f>'表3-2｜期出預算附屬表'!G312</f>
        <v>6080</v>
      </c>
      <c r="J106" s="58">
        <f>'表3-2｜期出預算附屬表'!H312</f>
        <v>0.1488262796</v>
      </c>
      <c r="K106" s="124" t="str">
        <f t="shared" si="8"/>
        <v>會費支出：6080</v>
      </c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</row>
    <row r="107">
      <c r="A107" s="87"/>
      <c r="B107" s="100"/>
      <c r="C107" s="189" t="s">
        <v>47</v>
      </c>
      <c r="D107" s="189" t="s">
        <v>55</v>
      </c>
      <c r="E107" s="190"/>
      <c r="F107" s="194" t="s">
        <v>95</v>
      </c>
      <c r="G107" s="50">
        <v>0.0</v>
      </c>
      <c r="H107" s="6">
        <v>0.0</v>
      </c>
      <c r="I107" s="104">
        <f>'表3-2｜期出預算附屬表'!G317</f>
        <v>14680</v>
      </c>
      <c r="J107" s="58">
        <f>'表3-2｜期出預算附屬表'!H317</f>
        <v>0.3593371356</v>
      </c>
      <c r="K107" s="124" t="str">
        <f t="shared" si="8"/>
        <v>會費支出：14680</v>
      </c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  <c r="AB107" s="125"/>
      <c r="AC107" s="125"/>
      <c r="AD107" s="125"/>
    </row>
    <row r="108">
      <c r="A108" s="87"/>
      <c r="B108" s="100"/>
      <c r="C108" s="189" t="s">
        <v>47</v>
      </c>
      <c r="D108" s="197" t="s">
        <v>57</v>
      </c>
      <c r="E108" s="190"/>
      <c r="F108" s="194" t="s">
        <v>96</v>
      </c>
      <c r="G108" s="50">
        <v>0.0</v>
      </c>
      <c r="H108" s="6">
        <v>0.0</v>
      </c>
      <c r="I108" s="104">
        <f>'表3-2｜期出預算附屬表'!G323</f>
        <v>2850</v>
      </c>
      <c r="J108" s="58">
        <f>'表3-2｜期出預算附屬表'!H323</f>
        <v>0.06976231856</v>
      </c>
      <c r="K108" s="124" t="str">
        <f t="shared" si="8"/>
        <v>會費支出：2850</v>
      </c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  <c r="AB108" s="125"/>
      <c r="AC108" s="125"/>
      <c r="AD108" s="125"/>
    </row>
    <row r="109">
      <c r="A109" s="87"/>
      <c r="B109" s="100"/>
      <c r="C109" s="189" t="s">
        <v>47</v>
      </c>
      <c r="D109" s="197" t="s">
        <v>83</v>
      </c>
      <c r="E109" s="190"/>
      <c r="F109" s="194" t="s">
        <v>97</v>
      </c>
      <c r="G109" s="50">
        <v>0.0</v>
      </c>
      <c r="H109" s="6">
        <v>0.0</v>
      </c>
      <c r="I109" s="104">
        <f>'表3-2｜期出預算附屬表'!G326</f>
        <v>3800</v>
      </c>
      <c r="J109" s="58">
        <f>'表3-2｜期出預算附屬表'!H326</f>
        <v>0.09301642474</v>
      </c>
      <c r="K109" s="124" t="str">
        <f t="shared" si="8"/>
        <v>會費支出：3800</v>
      </c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</row>
    <row r="110">
      <c r="A110" s="87"/>
      <c r="B110" s="100"/>
      <c r="C110" s="189" t="s">
        <v>59</v>
      </c>
      <c r="D110" s="189" t="s">
        <v>59</v>
      </c>
      <c r="E110" s="190"/>
      <c r="F110" s="191" t="s">
        <v>60</v>
      </c>
      <c r="G110" s="50">
        <v>0.0</v>
      </c>
      <c r="H110" s="6">
        <v>0.0</v>
      </c>
      <c r="I110" s="104">
        <f>'表3-2｜期出預算附屬表'!G329</f>
        <v>2043</v>
      </c>
      <c r="J110" s="58">
        <f>'表3-2｜期出預算附屬表'!H329</f>
        <v>0.0500085673</v>
      </c>
      <c r="K110" s="124" t="str">
        <f t="shared" si="8"/>
        <v>會費支出：2043</v>
      </c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  <c r="AB110" s="125"/>
      <c r="AC110" s="125"/>
      <c r="AD110" s="125"/>
    </row>
    <row r="111">
      <c r="A111" s="87"/>
      <c r="B111" s="100"/>
      <c r="C111" s="186"/>
      <c r="D111" s="186"/>
      <c r="E111" s="187"/>
      <c r="F111" s="188"/>
      <c r="G111" s="50"/>
      <c r="H111" s="103"/>
      <c r="I111" s="104"/>
      <c r="J111" s="49"/>
      <c r="K111" s="91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</row>
    <row r="112">
      <c r="A112" s="92" t="s">
        <v>49</v>
      </c>
      <c r="B112" s="93" t="s">
        <v>47</v>
      </c>
      <c r="C112" s="92" t="s">
        <v>47</v>
      </c>
      <c r="D112" s="93" t="s">
        <v>47</v>
      </c>
      <c r="E112" s="94"/>
      <c r="F112" s="95" t="s">
        <v>28</v>
      </c>
      <c r="G112" s="198">
        <f>'表3-1｜期入預算附屬表'!G116</f>
        <v>0</v>
      </c>
      <c r="H112" s="96">
        <v>0.0</v>
      </c>
      <c r="I112" s="199">
        <f>'表3-2｜期出預算附屬表'!G333</f>
        <v>118337</v>
      </c>
      <c r="J112" s="200">
        <f>'表3-2｜期出預算附屬表'!H333</f>
        <v>0.08476475775</v>
      </c>
      <c r="K112" s="98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</row>
    <row r="113">
      <c r="A113" s="201"/>
      <c r="B113" s="202" t="s">
        <v>46</v>
      </c>
      <c r="C113" s="203" t="s">
        <v>47</v>
      </c>
      <c r="D113" s="202" t="s">
        <v>47</v>
      </c>
      <c r="E113" s="204"/>
      <c r="F113" s="205" t="s">
        <v>29</v>
      </c>
      <c r="G113" s="139">
        <f>'表3-1｜期入預算附屬表'!G118</f>
        <v>0</v>
      </c>
      <c r="H113" s="6">
        <v>0.0</v>
      </c>
      <c r="I113" s="206">
        <f>'表3-2｜期出預算附屬表'!G334</f>
        <v>118337</v>
      </c>
      <c r="J113" s="207">
        <f>'表3-2｜期出預算附屬表'!H334</f>
        <v>1</v>
      </c>
      <c r="K113" s="20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</row>
    <row r="114">
      <c r="A114" s="87"/>
      <c r="B114" s="86"/>
      <c r="C114" s="72" t="s">
        <v>47</v>
      </c>
      <c r="D114" s="100" t="s">
        <v>46</v>
      </c>
      <c r="E114" s="80"/>
      <c r="F114" s="101" t="s">
        <v>98</v>
      </c>
      <c r="G114" s="174">
        <v>0.0</v>
      </c>
      <c r="H114" s="6">
        <v>0.0</v>
      </c>
      <c r="I114" s="104">
        <f>'表3-2｜期出預算附屬表'!G335</f>
        <v>100720</v>
      </c>
      <c r="J114" s="58">
        <f>'表3-2｜期出預算附屬表'!H335</f>
        <v>0.8511285566</v>
      </c>
      <c r="K114" s="13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5"/>
      <c r="AB114" s="125"/>
      <c r="AC114" s="125"/>
      <c r="AD114" s="125"/>
    </row>
    <row r="115">
      <c r="A115" s="87"/>
      <c r="B115" s="86"/>
      <c r="C115" s="87" t="s">
        <v>47</v>
      </c>
      <c r="D115" s="86" t="s">
        <v>49</v>
      </c>
      <c r="E115" s="80"/>
      <c r="F115" s="209" t="s">
        <v>99</v>
      </c>
      <c r="G115" s="174">
        <v>0.0</v>
      </c>
      <c r="H115" s="6">
        <v>0.0</v>
      </c>
      <c r="I115" s="154">
        <f>'表3-2｜期出預算附屬表'!G345</f>
        <v>7800</v>
      </c>
      <c r="J115" s="58">
        <f>'表3-2｜期出預算附屬表'!H345</f>
        <v>0.06591345057</v>
      </c>
      <c r="K115" s="13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</row>
    <row r="116">
      <c r="A116" s="87"/>
      <c r="B116" s="86"/>
      <c r="C116" s="72" t="s">
        <v>47</v>
      </c>
      <c r="D116" s="100" t="s">
        <v>51</v>
      </c>
      <c r="E116" s="80"/>
      <c r="F116" s="101" t="s">
        <v>100</v>
      </c>
      <c r="G116" s="174">
        <v>0.0</v>
      </c>
      <c r="H116" s="6">
        <v>0.0</v>
      </c>
      <c r="I116" s="156">
        <f>'表3-2｜期出預算附屬表'!G349</f>
        <v>3900</v>
      </c>
      <c r="J116" s="58">
        <f>'表3-2｜期出預算附屬表'!H349</f>
        <v>0.03295672528</v>
      </c>
      <c r="K116" s="124" t="str">
        <f>"會費支出："&amp;(I116-G116)</f>
        <v>會費支出：3900</v>
      </c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</row>
    <row r="117">
      <c r="A117" s="87"/>
      <c r="B117" s="86"/>
      <c r="C117" s="72" t="s">
        <v>59</v>
      </c>
      <c r="D117" s="100" t="s">
        <v>59</v>
      </c>
      <c r="E117" s="80"/>
      <c r="F117" s="101" t="s">
        <v>60</v>
      </c>
      <c r="G117" s="50">
        <f>'表3-1｜期入預算附屬表'!G128</f>
        <v>0</v>
      </c>
      <c r="H117" s="6">
        <v>0.0</v>
      </c>
      <c r="I117" s="50">
        <f>'表3-2｜期出預算附屬表'!G354</f>
        <v>5917</v>
      </c>
      <c r="J117" s="58">
        <f>'表3-2｜期出預算附屬表'!H354</f>
        <v>0.05000126757</v>
      </c>
      <c r="K117" s="91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</row>
    <row r="118">
      <c r="A118" s="87"/>
      <c r="B118" s="86"/>
      <c r="C118" s="87"/>
      <c r="D118" s="86"/>
      <c r="E118" s="80"/>
      <c r="F118" s="101"/>
      <c r="G118" s="50"/>
      <c r="H118" s="103"/>
      <c r="I118" s="104"/>
      <c r="J118" s="49"/>
      <c r="K118" s="91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</row>
    <row r="119">
      <c r="A119" s="92" t="s">
        <v>51</v>
      </c>
      <c r="B119" s="93" t="s">
        <v>47</v>
      </c>
      <c r="C119" s="92" t="s">
        <v>47</v>
      </c>
      <c r="D119" s="93" t="s">
        <v>47</v>
      </c>
      <c r="E119" s="94"/>
      <c r="F119" s="95" t="s">
        <v>30</v>
      </c>
      <c r="G119" s="198">
        <f>'表3-1｜期入預算附屬表'!G130</f>
        <v>0</v>
      </c>
      <c r="H119" s="96">
        <f>'表3-1｜期入預算附屬表'!H130</f>
        <v>0</v>
      </c>
      <c r="I119" s="199">
        <f>'表3-2｜期出預算附屬表'!G358</f>
        <v>93831.57895</v>
      </c>
      <c r="J119" s="200">
        <f>'表3-2｜期出預算附屬表'!H358</f>
        <v>0.06721153197</v>
      </c>
      <c r="K119" s="98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  <c r="AA119" s="99"/>
      <c r="AB119" s="99"/>
      <c r="AC119" s="99"/>
      <c r="AD119" s="99"/>
    </row>
    <row r="120">
      <c r="A120" s="201"/>
      <c r="B120" s="202" t="s">
        <v>46</v>
      </c>
      <c r="C120" s="203" t="s">
        <v>47</v>
      </c>
      <c r="D120" s="202" t="s">
        <v>47</v>
      </c>
      <c r="E120" s="204"/>
      <c r="F120" s="205" t="s">
        <v>31</v>
      </c>
      <c r="G120" s="139">
        <f>'表3-1｜期入預算附屬表'!G132</f>
        <v>0</v>
      </c>
      <c r="H120" s="210">
        <f>'表3-1｜期入預算附屬表'!H132</f>
        <v>0</v>
      </c>
      <c r="I120" s="206">
        <f>'表3-2｜期出預算附屬表'!G359</f>
        <v>93831.57895</v>
      </c>
      <c r="J120" s="207">
        <f>'表3-2｜期出預算附屬表'!H359</f>
        <v>1</v>
      </c>
      <c r="K120" s="20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</row>
    <row r="121">
      <c r="A121" s="87"/>
      <c r="B121" s="100"/>
      <c r="C121" s="72" t="s">
        <v>47</v>
      </c>
      <c r="D121" s="100" t="s">
        <v>46</v>
      </c>
      <c r="E121" s="116"/>
      <c r="F121" s="101" t="s">
        <v>101</v>
      </c>
      <c r="G121" s="50">
        <f>'表3-1｜期入預算附屬表'!G134</f>
        <v>0</v>
      </c>
      <c r="H121" s="6">
        <f>'表3-1｜期入預算附屬表'!H134</f>
        <v>0</v>
      </c>
      <c r="I121" s="104">
        <f>'表3-2｜期出預算附屬表'!G360</f>
        <v>89140</v>
      </c>
      <c r="J121" s="6">
        <f>'表3-2｜期出預算附屬表'!H360</f>
        <v>0.95</v>
      </c>
      <c r="K121" s="13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</row>
    <row r="122">
      <c r="A122" s="87"/>
      <c r="B122" s="100"/>
      <c r="C122" s="72" t="s">
        <v>59</v>
      </c>
      <c r="D122" s="100" t="s">
        <v>59</v>
      </c>
      <c r="E122" s="116"/>
      <c r="F122" s="101" t="s">
        <v>60</v>
      </c>
      <c r="G122" s="211">
        <f>'表3-1｜期入預算附屬表'!G136</f>
        <v>0</v>
      </c>
      <c r="H122" s="212">
        <f>'表3-1｜期入預算附屬表'!H136</f>
        <v>0</v>
      </c>
      <c r="I122" s="104">
        <f>'表3-2｜期出預算附屬表'!G370</f>
        <v>4691.578947</v>
      </c>
      <c r="J122" s="6">
        <f>'表3-2｜期出預算附屬表'!H370</f>
        <v>0.05</v>
      </c>
      <c r="K122" s="13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</row>
  </sheetData>
  <mergeCells count="8">
    <mergeCell ref="A1:K1"/>
    <mergeCell ref="A2:K2"/>
    <mergeCell ref="A3:K3"/>
    <mergeCell ref="A4:H4"/>
    <mergeCell ref="J4:K4"/>
    <mergeCell ref="A5:D5"/>
    <mergeCell ref="E5:F5"/>
    <mergeCell ref="K5:K6"/>
  </mergeCells>
  <printOptions horizontalCentered="1"/>
  <pageMargins bottom="0.75" footer="0.0" header="0.0" left="0.25" right="0.25" top="0.75"/>
  <pageSetup paperSize="9" cellComments="atEnd" orientation="portrait" pageOrder="overThenDown"/>
  <headerFooter>
    <oddFooter>&amp;L&amp;A&amp;R&amp;P</oddFooter>
  </headerFooter>
  <rowBreaks count="4" manualBreakCount="4">
    <brk id="33" man="1"/>
    <brk id="71" man="1"/>
    <brk id="46" man="1"/>
    <brk id="111" man="1"/>
  </rowBreaks>
  <colBreaks count="2" manualBreakCount="2">
    <brk man="1"/>
    <brk id="11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4" width="3.0"/>
    <col customWidth="1" min="5" max="5" width="5.0"/>
    <col customWidth="1" min="6" max="6" width="36.63"/>
    <col customWidth="1" min="7" max="7" width="11.0"/>
    <col customWidth="1" min="8" max="8" width="9.88"/>
    <col customWidth="1" min="9" max="9" width="36.0"/>
    <col customWidth="1" min="10" max="30" width="29.25"/>
  </cols>
  <sheetData>
    <row r="1">
      <c r="A1" s="213" t="s">
        <v>0</v>
      </c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</row>
    <row r="2">
      <c r="A2" s="214" t="s">
        <v>102</v>
      </c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</row>
    <row r="3">
      <c r="A3" s="215" t="s">
        <v>2</v>
      </c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</row>
    <row r="4">
      <c r="A4" s="216" t="s">
        <v>3</v>
      </c>
      <c r="I4" s="217" t="s">
        <v>4</v>
      </c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</row>
    <row r="5">
      <c r="A5" s="218" t="s">
        <v>39</v>
      </c>
      <c r="E5" s="218" t="s">
        <v>40</v>
      </c>
      <c r="G5" s="219" t="s">
        <v>103</v>
      </c>
      <c r="H5" s="220" t="s">
        <v>103</v>
      </c>
      <c r="I5" s="221" t="s">
        <v>12</v>
      </c>
      <c r="J5" s="222" t="s">
        <v>104</v>
      </c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</row>
    <row r="6">
      <c r="A6" s="223" t="s">
        <v>10</v>
      </c>
      <c r="B6" s="223" t="s">
        <v>11</v>
      </c>
      <c r="C6" s="223" t="s">
        <v>34</v>
      </c>
      <c r="D6" s="223" t="s">
        <v>36</v>
      </c>
      <c r="E6" s="223" t="s">
        <v>44</v>
      </c>
      <c r="F6" s="220" t="s">
        <v>45</v>
      </c>
      <c r="G6" s="219" t="s">
        <v>13</v>
      </c>
      <c r="H6" s="220" t="s">
        <v>14</v>
      </c>
      <c r="I6" s="224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</row>
    <row r="7">
      <c r="A7" s="223"/>
      <c r="B7" s="225"/>
      <c r="C7" s="225"/>
      <c r="D7" s="225"/>
      <c r="E7" s="225"/>
      <c r="F7" s="226" t="s">
        <v>15</v>
      </c>
      <c r="G7" s="227">
        <f>G9+G116+G130</f>
        <v>1898833</v>
      </c>
      <c r="H7" s="228">
        <v>1.0</v>
      </c>
      <c r="I7" s="229"/>
      <c r="J7" s="230"/>
      <c r="K7" s="230"/>
      <c r="L7" s="230"/>
      <c r="M7" s="230"/>
      <c r="N7" s="230"/>
      <c r="O7" s="230"/>
      <c r="P7" s="230"/>
      <c r="Q7" s="230"/>
      <c r="R7" s="230"/>
      <c r="S7" s="230"/>
      <c r="T7" s="230"/>
      <c r="U7" s="230"/>
      <c r="V7" s="230"/>
      <c r="W7" s="230"/>
      <c r="X7" s="230"/>
      <c r="Y7" s="230"/>
      <c r="Z7" s="230"/>
      <c r="AA7" s="230"/>
      <c r="AB7" s="230"/>
      <c r="AC7" s="230"/>
      <c r="AD7" s="230"/>
    </row>
    <row r="8">
      <c r="A8" s="223"/>
      <c r="B8" s="225"/>
      <c r="C8" s="225"/>
      <c r="D8" s="225"/>
      <c r="E8" s="225"/>
      <c r="F8" s="226"/>
      <c r="G8" s="227"/>
      <c r="H8" s="231"/>
      <c r="I8" s="232"/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  <c r="AA8" s="233"/>
      <c r="AB8" s="233"/>
      <c r="AC8" s="233"/>
      <c r="AD8" s="233"/>
    </row>
    <row r="9">
      <c r="A9" s="234" t="s">
        <v>46</v>
      </c>
      <c r="B9" s="234" t="s">
        <v>47</v>
      </c>
      <c r="C9" s="234" t="s">
        <v>47</v>
      </c>
      <c r="D9" s="234" t="s">
        <v>47</v>
      </c>
      <c r="E9" s="234"/>
      <c r="F9" s="235" t="s">
        <v>16</v>
      </c>
      <c r="G9" s="236">
        <f>G11+G23+G28+G33+G38+G73+G78+G83+G91+G105</f>
        <v>1898833</v>
      </c>
      <c r="H9" s="237">
        <f>G9/$G$7</f>
        <v>1</v>
      </c>
      <c r="I9" s="238"/>
      <c r="J9" s="239"/>
      <c r="K9" s="239"/>
      <c r="L9" s="239"/>
      <c r="M9" s="239"/>
      <c r="N9" s="239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</row>
    <row r="10">
      <c r="A10" s="225"/>
      <c r="B10" s="223"/>
      <c r="C10" s="225"/>
      <c r="D10" s="225"/>
      <c r="E10" s="225"/>
      <c r="F10" s="229"/>
      <c r="G10" s="240"/>
      <c r="H10" s="232"/>
      <c r="I10" s="232"/>
      <c r="J10" s="233"/>
      <c r="K10" s="233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3"/>
      <c r="Z10" s="233"/>
      <c r="AA10" s="233"/>
      <c r="AB10" s="233"/>
      <c r="AC10" s="233"/>
      <c r="AD10" s="233"/>
    </row>
    <row r="11">
      <c r="A11" s="241"/>
      <c r="B11" s="242" t="s">
        <v>46</v>
      </c>
      <c r="C11" s="242" t="s">
        <v>47</v>
      </c>
      <c r="D11" s="242" t="s">
        <v>47</v>
      </c>
      <c r="E11" s="241"/>
      <c r="F11" s="243" t="s">
        <v>17</v>
      </c>
      <c r="G11" s="244">
        <f>G13+G19+G21</f>
        <v>1848833</v>
      </c>
      <c r="H11" s="245">
        <f>G11/$G$9</f>
        <v>0.9736680372</v>
      </c>
      <c r="I11" s="246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247"/>
      <c r="AA11" s="247"/>
      <c r="AB11" s="247"/>
      <c r="AC11" s="247"/>
      <c r="AD11" s="247"/>
    </row>
    <row r="12">
      <c r="A12" s="248"/>
      <c r="B12" s="248"/>
      <c r="C12" s="249"/>
      <c r="D12" s="249"/>
      <c r="E12" s="248"/>
      <c r="F12" s="250"/>
      <c r="G12" s="251"/>
      <c r="H12" s="252"/>
      <c r="I12" s="253"/>
      <c r="J12" s="254"/>
      <c r="K12" s="254"/>
      <c r="L12" s="254"/>
      <c r="M12" s="254"/>
      <c r="N12" s="254"/>
      <c r="O12" s="254"/>
      <c r="P12" s="254"/>
      <c r="Q12" s="254"/>
      <c r="R12" s="254"/>
      <c r="S12" s="254"/>
      <c r="T12" s="254"/>
      <c r="U12" s="254"/>
      <c r="V12" s="254"/>
      <c r="W12" s="254"/>
      <c r="X12" s="254"/>
      <c r="Y12" s="254"/>
      <c r="Z12" s="254"/>
      <c r="AA12" s="254"/>
      <c r="AB12" s="254"/>
      <c r="AC12" s="254"/>
      <c r="AD12" s="254"/>
    </row>
    <row r="13">
      <c r="A13" s="248"/>
      <c r="B13" s="248"/>
      <c r="C13" s="249" t="s">
        <v>47</v>
      </c>
      <c r="D13" s="249" t="s">
        <v>46</v>
      </c>
      <c r="E13" s="248"/>
      <c r="F13" s="250" t="s">
        <v>48</v>
      </c>
      <c r="G13" s="251">
        <f>G14+G15</f>
        <v>1848833</v>
      </c>
      <c r="H13" s="252">
        <f>G13/$G$11</f>
        <v>1</v>
      </c>
      <c r="I13" s="253"/>
      <c r="J13" s="254"/>
      <c r="K13" s="254"/>
      <c r="L13" s="255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</row>
    <row r="14">
      <c r="A14" s="225"/>
      <c r="B14" s="225"/>
      <c r="C14" s="223"/>
      <c r="D14" s="223"/>
      <c r="E14" s="223" t="s">
        <v>105</v>
      </c>
      <c r="F14" s="229" t="s">
        <v>106</v>
      </c>
      <c r="G14" s="256">
        <v>20000.0</v>
      </c>
      <c r="H14" s="257">
        <f t="shared" ref="H14:H15" si="1">G14/$G$13</f>
        <v>0.01081763469</v>
      </c>
      <c r="I14" s="229" t="s">
        <v>107</v>
      </c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</row>
    <row r="15">
      <c r="A15" s="258"/>
      <c r="B15" s="258"/>
      <c r="C15" s="259"/>
      <c r="D15" s="259"/>
      <c r="E15" s="259" t="s">
        <v>108</v>
      </c>
      <c r="F15" s="260" t="s">
        <v>109</v>
      </c>
      <c r="G15" s="261">
        <v>1828833.0</v>
      </c>
      <c r="H15" s="262">
        <f t="shared" si="1"/>
        <v>0.9891823653</v>
      </c>
      <c r="I15" s="263" t="s">
        <v>110</v>
      </c>
      <c r="J15" s="264"/>
      <c r="K15" s="265"/>
      <c r="L15" s="264"/>
      <c r="M15" s="264"/>
      <c r="N15" s="264"/>
      <c r="O15" s="264"/>
      <c r="P15" s="264"/>
      <c r="Q15" s="264"/>
      <c r="R15" s="264"/>
      <c r="S15" s="264"/>
      <c r="T15" s="264"/>
      <c r="U15" s="264"/>
      <c r="V15" s="264"/>
      <c r="W15" s="264"/>
      <c r="X15" s="264"/>
      <c r="Y15" s="264"/>
      <c r="Z15" s="264"/>
      <c r="AA15" s="264"/>
      <c r="AB15" s="264"/>
      <c r="AC15" s="264"/>
      <c r="AD15" s="264"/>
    </row>
    <row r="16">
      <c r="A16" s="225"/>
      <c r="B16" s="225"/>
      <c r="C16" s="223" t="s">
        <v>47</v>
      </c>
      <c r="D16" s="223" t="s">
        <v>49</v>
      </c>
      <c r="E16" s="223"/>
      <c r="F16" s="266" t="s">
        <v>111</v>
      </c>
      <c r="G16" s="267">
        <v>0.0</v>
      </c>
      <c r="H16" s="252">
        <f t="shared" ref="H16:H21" si="2">G16/$G$11</f>
        <v>0</v>
      </c>
      <c r="I16" s="229"/>
      <c r="J16" s="268"/>
      <c r="K16" s="269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</row>
    <row r="17">
      <c r="A17" s="225"/>
      <c r="B17" s="225"/>
      <c r="C17" s="223" t="s">
        <v>47</v>
      </c>
      <c r="D17" s="223" t="s">
        <v>51</v>
      </c>
      <c r="E17" s="223"/>
      <c r="F17" s="266" t="s">
        <v>112</v>
      </c>
      <c r="G17" s="256">
        <v>0.0</v>
      </c>
      <c r="H17" s="252">
        <f t="shared" si="2"/>
        <v>0</v>
      </c>
      <c r="I17" s="229"/>
      <c r="J17" s="233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</row>
    <row r="18">
      <c r="A18" s="190"/>
      <c r="B18" s="190"/>
      <c r="C18" s="197" t="s">
        <v>47</v>
      </c>
      <c r="D18" s="197" t="s">
        <v>53</v>
      </c>
      <c r="E18" s="190"/>
      <c r="F18" s="266" t="s">
        <v>113</v>
      </c>
      <c r="G18" s="270">
        <v>0.0</v>
      </c>
      <c r="H18" s="252">
        <f t="shared" si="2"/>
        <v>0</v>
      </c>
      <c r="I18" s="253"/>
      <c r="J18" s="271"/>
      <c r="K18" s="271"/>
      <c r="L18" s="271"/>
      <c r="M18" s="271"/>
      <c r="N18" s="271"/>
      <c r="O18" s="271"/>
      <c r="P18" s="271"/>
      <c r="Q18" s="271"/>
      <c r="R18" s="271"/>
      <c r="S18" s="271"/>
      <c r="T18" s="271"/>
      <c r="U18" s="271"/>
      <c r="V18" s="271"/>
      <c r="W18" s="271"/>
      <c r="X18" s="271"/>
      <c r="Y18" s="271"/>
      <c r="Z18" s="271"/>
      <c r="AA18" s="271"/>
      <c r="AB18" s="271"/>
      <c r="AC18" s="271"/>
      <c r="AD18" s="271"/>
    </row>
    <row r="19">
      <c r="A19" s="190"/>
      <c r="B19" s="190"/>
      <c r="C19" s="189" t="s">
        <v>47</v>
      </c>
      <c r="D19" s="197" t="s">
        <v>55</v>
      </c>
      <c r="E19" s="190"/>
      <c r="F19" s="266" t="s">
        <v>114</v>
      </c>
      <c r="G19" s="272">
        <v>0.0</v>
      </c>
      <c r="H19" s="252">
        <f t="shared" si="2"/>
        <v>0</v>
      </c>
      <c r="I19" s="253"/>
      <c r="J19" s="273"/>
      <c r="K19" s="271"/>
      <c r="L19" s="271"/>
      <c r="M19" s="271"/>
      <c r="N19" s="271"/>
      <c r="O19" s="271"/>
      <c r="P19" s="271"/>
      <c r="Q19" s="271"/>
      <c r="R19" s="271"/>
      <c r="S19" s="271"/>
      <c r="T19" s="271"/>
      <c r="U19" s="271"/>
      <c r="V19" s="271"/>
      <c r="W19" s="271"/>
      <c r="X19" s="271"/>
      <c r="Y19" s="271"/>
      <c r="Z19" s="271"/>
      <c r="AA19" s="271"/>
      <c r="AB19" s="271"/>
      <c r="AC19" s="271"/>
      <c r="AD19" s="271"/>
    </row>
    <row r="20">
      <c r="A20" s="190"/>
      <c r="B20" s="190"/>
      <c r="C20" s="197" t="s">
        <v>47</v>
      </c>
      <c r="D20" s="197" t="s">
        <v>57</v>
      </c>
      <c r="E20" s="190"/>
      <c r="F20" s="266" t="s">
        <v>58</v>
      </c>
      <c r="G20" s="272">
        <v>0.0</v>
      </c>
      <c r="H20" s="252">
        <f t="shared" si="2"/>
        <v>0</v>
      </c>
      <c r="I20" s="274"/>
      <c r="J20" s="275"/>
      <c r="K20" s="276"/>
      <c r="L20" s="276"/>
      <c r="M20" s="276"/>
      <c r="N20" s="276"/>
      <c r="O20" s="276"/>
      <c r="P20" s="276"/>
      <c r="Q20" s="276"/>
      <c r="R20" s="276"/>
      <c r="S20" s="276"/>
      <c r="T20" s="276"/>
      <c r="U20" s="276"/>
      <c r="V20" s="276"/>
      <c r="W20" s="276"/>
      <c r="X20" s="276"/>
      <c r="Y20" s="276"/>
      <c r="Z20" s="276"/>
      <c r="AA20" s="276"/>
      <c r="AB20" s="276"/>
      <c r="AC20" s="276"/>
      <c r="AD20" s="276"/>
    </row>
    <row r="21">
      <c r="A21" s="190"/>
      <c r="B21" s="190"/>
      <c r="C21" s="189" t="s">
        <v>59</v>
      </c>
      <c r="D21" s="189" t="s">
        <v>59</v>
      </c>
      <c r="E21" s="190"/>
      <c r="F21" s="250" t="s">
        <v>60</v>
      </c>
      <c r="G21" s="272">
        <v>0.0</v>
      </c>
      <c r="H21" s="252">
        <f t="shared" si="2"/>
        <v>0</v>
      </c>
      <c r="I21" s="274"/>
      <c r="J21" s="276"/>
      <c r="K21" s="276"/>
      <c r="L21" s="276"/>
      <c r="M21" s="276"/>
      <c r="N21" s="276"/>
      <c r="O21" s="276"/>
      <c r="P21" s="276"/>
      <c r="Q21" s="276"/>
      <c r="R21" s="276"/>
      <c r="S21" s="276"/>
      <c r="T21" s="276"/>
      <c r="U21" s="276"/>
      <c r="V21" s="276"/>
      <c r="W21" s="276"/>
      <c r="X21" s="276"/>
      <c r="Y21" s="276"/>
      <c r="Z21" s="276"/>
      <c r="AA21" s="276"/>
      <c r="AB21" s="276"/>
      <c r="AC21" s="276"/>
      <c r="AD21" s="276"/>
    </row>
    <row r="22">
      <c r="A22" s="225"/>
      <c r="B22" s="225"/>
      <c r="C22" s="223"/>
      <c r="D22" s="223"/>
      <c r="E22" s="223"/>
      <c r="F22" s="266"/>
      <c r="G22" s="256"/>
      <c r="H22" s="232"/>
      <c r="I22" s="229"/>
      <c r="J22" s="233"/>
      <c r="K22" s="233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</row>
    <row r="23">
      <c r="A23" s="241"/>
      <c r="B23" s="242" t="s">
        <v>49</v>
      </c>
      <c r="C23" s="242" t="s">
        <v>47</v>
      </c>
      <c r="D23" s="242" t="s">
        <v>47</v>
      </c>
      <c r="E23" s="241"/>
      <c r="F23" s="243" t="s">
        <v>18</v>
      </c>
      <c r="G23" s="277">
        <v>0.0</v>
      </c>
      <c r="H23" s="245">
        <f>G23/$G$9</f>
        <v>0</v>
      </c>
      <c r="I23" s="278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247"/>
      <c r="U23" s="247"/>
      <c r="V23" s="247"/>
      <c r="W23" s="247"/>
      <c r="X23" s="247"/>
      <c r="Y23" s="247"/>
      <c r="Z23" s="247"/>
      <c r="AA23" s="247"/>
      <c r="AB23" s="247"/>
      <c r="AC23" s="247"/>
      <c r="AD23" s="247"/>
    </row>
    <row r="24">
      <c r="A24" s="190"/>
      <c r="B24" s="190"/>
      <c r="C24" s="189"/>
      <c r="D24" s="189"/>
      <c r="E24" s="190"/>
      <c r="F24" s="279"/>
      <c r="G24" s="272"/>
      <c r="H24" s="280"/>
      <c r="I24" s="253"/>
      <c r="J24" s="276"/>
      <c r="K24" s="276"/>
      <c r="L24" s="276"/>
      <c r="M24" s="276"/>
      <c r="N24" s="276"/>
      <c r="O24" s="276"/>
      <c r="P24" s="276"/>
      <c r="Q24" s="276"/>
      <c r="R24" s="276"/>
      <c r="S24" s="276"/>
      <c r="T24" s="276"/>
      <c r="U24" s="276"/>
      <c r="V24" s="276"/>
      <c r="W24" s="276"/>
      <c r="X24" s="276"/>
      <c r="Y24" s="276"/>
      <c r="Z24" s="276"/>
      <c r="AA24" s="276"/>
      <c r="AB24" s="276"/>
      <c r="AC24" s="276"/>
      <c r="AD24" s="276"/>
    </row>
    <row r="25">
      <c r="A25" s="190"/>
      <c r="B25" s="190"/>
      <c r="C25" s="189" t="s">
        <v>47</v>
      </c>
      <c r="D25" s="189" t="s">
        <v>46</v>
      </c>
      <c r="E25" s="190"/>
      <c r="F25" s="279" t="s">
        <v>48</v>
      </c>
      <c r="G25" s="272">
        <v>0.0</v>
      </c>
      <c r="H25" s="281">
        <v>0.0</v>
      </c>
      <c r="I25" s="253"/>
      <c r="J25" s="276"/>
      <c r="K25" s="276"/>
      <c r="L25" s="276"/>
      <c r="M25" s="276"/>
      <c r="N25" s="276"/>
      <c r="O25" s="276"/>
      <c r="P25" s="276"/>
      <c r="Q25" s="276"/>
      <c r="R25" s="276"/>
      <c r="S25" s="276"/>
      <c r="T25" s="276"/>
      <c r="U25" s="276"/>
      <c r="V25" s="276"/>
      <c r="W25" s="276"/>
      <c r="X25" s="276"/>
      <c r="Y25" s="276"/>
      <c r="Z25" s="276"/>
      <c r="AA25" s="276"/>
      <c r="AB25" s="276"/>
      <c r="AC25" s="276"/>
      <c r="AD25" s="276"/>
    </row>
    <row r="26">
      <c r="A26" s="190"/>
      <c r="B26" s="190"/>
      <c r="C26" s="189" t="s">
        <v>59</v>
      </c>
      <c r="D26" s="189" t="s">
        <v>59</v>
      </c>
      <c r="E26" s="190"/>
      <c r="F26" s="279" t="s">
        <v>60</v>
      </c>
      <c r="G26" s="272">
        <v>0.0</v>
      </c>
      <c r="H26" s="282">
        <v>0.0</v>
      </c>
      <c r="I26" s="274"/>
      <c r="J26" s="283"/>
      <c r="K26" s="283"/>
      <c r="L26" s="283"/>
      <c r="M26" s="283"/>
      <c r="N26" s="283"/>
      <c r="O26" s="283"/>
      <c r="P26" s="283"/>
      <c r="Q26" s="283"/>
      <c r="R26" s="283"/>
      <c r="S26" s="283"/>
      <c r="T26" s="283"/>
      <c r="U26" s="283"/>
      <c r="V26" s="283"/>
      <c r="W26" s="283"/>
      <c r="X26" s="283"/>
      <c r="Y26" s="283"/>
      <c r="Z26" s="283"/>
      <c r="AA26" s="283"/>
      <c r="AB26" s="283"/>
      <c r="AC26" s="283"/>
      <c r="AD26" s="283"/>
    </row>
    <row r="27">
      <c r="A27" s="225"/>
      <c r="B27" s="223"/>
      <c r="C27" s="223"/>
      <c r="D27" s="223"/>
      <c r="E27" s="223"/>
      <c r="F27" s="229"/>
      <c r="G27" s="284"/>
      <c r="H27" s="232"/>
      <c r="I27" s="22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  <c r="V27" s="269"/>
      <c r="W27" s="269"/>
      <c r="X27" s="269"/>
      <c r="Y27" s="269"/>
      <c r="Z27" s="269"/>
      <c r="AA27" s="269"/>
      <c r="AB27" s="269"/>
      <c r="AC27" s="269"/>
      <c r="AD27" s="269"/>
    </row>
    <row r="28">
      <c r="A28" s="241"/>
      <c r="B28" s="242" t="s">
        <v>51</v>
      </c>
      <c r="C28" s="242" t="s">
        <v>47</v>
      </c>
      <c r="D28" s="242" t="s">
        <v>47</v>
      </c>
      <c r="E28" s="241"/>
      <c r="F28" s="243" t="s">
        <v>19</v>
      </c>
      <c r="G28" s="277">
        <v>0.0</v>
      </c>
      <c r="H28" s="245">
        <f>G28/$G$9</f>
        <v>0</v>
      </c>
      <c r="I28" s="278"/>
      <c r="J28" s="247"/>
      <c r="K28" s="247"/>
      <c r="L28" s="247"/>
      <c r="M28" s="247"/>
      <c r="N28" s="247"/>
      <c r="O28" s="247"/>
      <c r="P28" s="247"/>
      <c r="Q28" s="247"/>
      <c r="R28" s="247"/>
      <c r="S28" s="247"/>
      <c r="T28" s="247"/>
      <c r="U28" s="247"/>
      <c r="V28" s="247"/>
      <c r="W28" s="247"/>
      <c r="X28" s="247"/>
      <c r="Y28" s="247"/>
      <c r="Z28" s="247"/>
      <c r="AA28" s="247"/>
      <c r="AB28" s="247"/>
      <c r="AC28" s="247"/>
      <c r="AD28" s="247"/>
    </row>
    <row r="29">
      <c r="A29" s="190"/>
      <c r="B29" s="190"/>
      <c r="C29" s="189"/>
      <c r="D29" s="189"/>
      <c r="E29" s="190"/>
      <c r="F29" s="279"/>
      <c r="G29" s="285"/>
      <c r="H29" s="252"/>
      <c r="I29" s="253"/>
      <c r="J29" s="283"/>
      <c r="K29" s="283"/>
      <c r="L29" s="283"/>
      <c r="M29" s="283"/>
      <c r="N29" s="283"/>
      <c r="O29" s="283"/>
      <c r="P29" s="283"/>
      <c r="Q29" s="283"/>
      <c r="R29" s="283"/>
      <c r="S29" s="283"/>
      <c r="T29" s="283"/>
      <c r="U29" s="283"/>
      <c r="V29" s="283"/>
      <c r="W29" s="283"/>
      <c r="X29" s="283"/>
      <c r="Y29" s="283"/>
      <c r="Z29" s="283"/>
      <c r="AA29" s="283"/>
      <c r="AB29" s="283"/>
      <c r="AC29" s="283"/>
      <c r="AD29" s="283"/>
    </row>
    <row r="30">
      <c r="A30" s="190"/>
      <c r="B30" s="190"/>
      <c r="C30" s="189" t="s">
        <v>47</v>
      </c>
      <c r="D30" s="189" t="s">
        <v>46</v>
      </c>
      <c r="E30" s="190"/>
      <c r="F30" s="279" t="s">
        <v>48</v>
      </c>
      <c r="G30" s="272">
        <v>0.0</v>
      </c>
      <c r="H30" s="286">
        <v>0.0</v>
      </c>
      <c r="I30" s="253"/>
      <c r="J30" s="283"/>
      <c r="K30" s="283"/>
      <c r="L30" s="283"/>
      <c r="M30" s="283"/>
      <c r="N30" s="283"/>
      <c r="O30" s="283"/>
      <c r="P30" s="283"/>
      <c r="Q30" s="283"/>
      <c r="R30" s="283"/>
      <c r="S30" s="283"/>
      <c r="T30" s="283"/>
      <c r="U30" s="283"/>
      <c r="V30" s="283"/>
      <c r="W30" s="283"/>
      <c r="X30" s="283"/>
      <c r="Y30" s="283"/>
      <c r="Z30" s="283"/>
      <c r="AA30" s="283"/>
      <c r="AB30" s="283"/>
      <c r="AC30" s="283"/>
      <c r="AD30" s="283"/>
    </row>
    <row r="31">
      <c r="A31" s="190"/>
      <c r="B31" s="190"/>
      <c r="C31" s="189" t="s">
        <v>59</v>
      </c>
      <c r="D31" s="189" t="s">
        <v>59</v>
      </c>
      <c r="E31" s="190"/>
      <c r="F31" s="279" t="s">
        <v>60</v>
      </c>
      <c r="G31" s="272">
        <v>0.0</v>
      </c>
      <c r="H31" s="286">
        <v>0.0</v>
      </c>
      <c r="I31" s="274"/>
      <c r="J31" s="283"/>
      <c r="K31" s="283"/>
      <c r="L31" s="283"/>
      <c r="M31" s="283"/>
      <c r="N31" s="283"/>
      <c r="O31" s="283"/>
      <c r="P31" s="283"/>
      <c r="Q31" s="283"/>
      <c r="R31" s="283"/>
      <c r="S31" s="283"/>
      <c r="T31" s="283"/>
      <c r="U31" s="283"/>
      <c r="V31" s="283"/>
      <c r="W31" s="283"/>
      <c r="X31" s="283"/>
      <c r="Y31" s="283"/>
      <c r="Z31" s="283"/>
      <c r="AA31" s="283"/>
      <c r="AB31" s="283"/>
      <c r="AC31" s="283"/>
      <c r="AD31" s="283"/>
    </row>
    <row r="32">
      <c r="A32" s="225"/>
      <c r="B32" s="223"/>
      <c r="C32" s="223"/>
      <c r="D32" s="223"/>
      <c r="E32" s="223"/>
      <c r="F32" s="229"/>
      <c r="G32" s="284"/>
      <c r="H32" s="232"/>
      <c r="I32" s="232"/>
      <c r="J32" s="269"/>
      <c r="K32" s="269"/>
      <c r="L32" s="269"/>
      <c r="M32" s="269"/>
      <c r="N32" s="269"/>
      <c r="O32" s="269"/>
      <c r="P32" s="269"/>
      <c r="Q32" s="269"/>
      <c r="R32" s="269"/>
      <c r="S32" s="269"/>
      <c r="T32" s="269"/>
      <c r="U32" s="269"/>
      <c r="V32" s="269"/>
      <c r="W32" s="269"/>
      <c r="X32" s="269"/>
      <c r="Y32" s="269"/>
      <c r="Z32" s="269"/>
      <c r="AA32" s="269"/>
      <c r="AB32" s="269"/>
      <c r="AC32" s="269"/>
      <c r="AD32" s="269"/>
    </row>
    <row r="33">
      <c r="A33" s="241"/>
      <c r="B33" s="242" t="s">
        <v>53</v>
      </c>
      <c r="C33" s="242" t="s">
        <v>47</v>
      </c>
      <c r="D33" s="242" t="s">
        <v>47</v>
      </c>
      <c r="E33" s="241"/>
      <c r="F33" s="243" t="s">
        <v>20</v>
      </c>
      <c r="G33" s="277">
        <v>0.0</v>
      </c>
      <c r="H33" s="245">
        <f>G33/$G$9</f>
        <v>0</v>
      </c>
      <c r="I33" s="278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247"/>
      <c r="U33" s="247"/>
      <c r="V33" s="247"/>
      <c r="W33" s="247"/>
      <c r="X33" s="247"/>
      <c r="Y33" s="247"/>
      <c r="Z33" s="247"/>
      <c r="AA33" s="247"/>
      <c r="AB33" s="247"/>
      <c r="AC33" s="247"/>
      <c r="AD33" s="247"/>
    </row>
    <row r="34">
      <c r="A34" s="190"/>
      <c r="B34" s="190"/>
      <c r="C34" s="189"/>
      <c r="D34" s="189"/>
      <c r="E34" s="190"/>
      <c r="F34" s="279"/>
      <c r="G34" s="285"/>
      <c r="H34" s="252"/>
      <c r="I34" s="253"/>
      <c r="J34" s="276"/>
      <c r="K34" s="276"/>
      <c r="L34" s="276"/>
      <c r="M34" s="276"/>
      <c r="N34" s="276"/>
      <c r="O34" s="276"/>
      <c r="P34" s="276"/>
      <c r="Q34" s="276"/>
      <c r="R34" s="276"/>
      <c r="S34" s="276"/>
      <c r="T34" s="276"/>
      <c r="U34" s="276"/>
      <c r="V34" s="276"/>
      <c r="W34" s="276"/>
      <c r="X34" s="276"/>
      <c r="Y34" s="276"/>
      <c r="Z34" s="276"/>
      <c r="AA34" s="276"/>
      <c r="AB34" s="276"/>
      <c r="AC34" s="276"/>
      <c r="AD34" s="276"/>
    </row>
    <row r="35">
      <c r="A35" s="190"/>
      <c r="B35" s="190"/>
      <c r="C35" s="189" t="s">
        <v>47</v>
      </c>
      <c r="D35" s="189" t="s">
        <v>46</v>
      </c>
      <c r="E35" s="190"/>
      <c r="F35" s="279" t="s">
        <v>48</v>
      </c>
      <c r="G35" s="272">
        <v>0.0</v>
      </c>
      <c r="H35" s="286">
        <v>0.0</v>
      </c>
      <c r="I35" s="253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Y35" s="276"/>
      <c r="Z35" s="276"/>
      <c r="AA35" s="276"/>
      <c r="AB35" s="276"/>
      <c r="AC35" s="276"/>
      <c r="AD35" s="276"/>
    </row>
    <row r="36">
      <c r="A36" s="190"/>
      <c r="B36" s="190"/>
      <c r="C36" s="189" t="s">
        <v>59</v>
      </c>
      <c r="D36" s="189" t="s">
        <v>59</v>
      </c>
      <c r="E36" s="190"/>
      <c r="F36" s="279" t="s">
        <v>60</v>
      </c>
      <c r="G36" s="272">
        <v>0.0</v>
      </c>
      <c r="H36" s="286">
        <v>0.0</v>
      </c>
      <c r="I36" s="274"/>
      <c r="J36" s="276"/>
      <c r="K36" s="276"/>
      <c r="L36" s="276"/>
      <c r="M36" s="276"/>
      <c r="N36" s="276"/>
      <c r="O36" s="276"/>
      <c r="P36" s="276"/>
      <c r="Q36" s="276"/>
      <c r="R36" s="276"/>
      <c r="S36" s="276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</row>
    <row r="37">
      <c r="A37" s="225"/>
      <c r="B37" s="223"/>
      <c r="C37" s="223"/>
      <c r="D37" s="223"/>
      <c r="E37" s="223"/>
      <c r="F37" s="229"/>
      <c r="G37" s="284"/>
      <c r="H37" s="232"/>
      <c r="I37" s="232"/>
      <c r="J37" s="233"/>
      <c r="K37" s="233"/>
      <c r="L37" s="233"/>
      <c r="M37" s="233"/>
      <c r="N37" s="233"/>
      <c r="O37" s="233"/>
      <c r="P37" s="233"/>
      <c r="Q37" s="233"/>
      <c r="R37" s="233"/>
      <c r="S37" s="233"/>
      <c r="T37" s="233"/>
      <c r="U37" s="233"/>
      <c r="V37" s="233"/>
      <c r="W37" s="233"/>
      <c r="X37" s="233"/>
      <c r="Y37" s="233"/>
      <c r="Z37" s="233"/>
      <c r="AA37" s="233"/>
      <c r="AB37" s="233"/>
      <c r="AC37" s="233"/>
      <c r="AD37" s="233"/>
    </row>
    <row r="38">
      <c r="A38" s="241"/>
      <c r="B38" s="242" t="s">
        <v>55</v>
      </c>
      <c r="C38" s="242" t="s">
        <v>47</v>
      </c>
      <c r="D38" s="242" t="s">
        <v>47</v>
      </c>
      <c r="E38" s="241"/>
      <c r="F38" s="243" t="s">
        <v>21</v>
      </c>
      <c r="G38" s="277">
        <v>0.0</v>
      </c>
      <c r="H38" s="245">
        <f>G38/$G$9</f>
        <v>0</v>
      </c>
      <c r="I38" s="278"/>
      <c r="J38" s="247"/>
      <c r="K38" s="247"/>
      <c r="L38" s="247"/>
      <c r="M38" s="247"/>
      <c r="N38" s="247"/>
      <c r="O38" s="247"/>
      <c r="P38" s="247"/>
      <c r="Q38" s="247"/>
      <c r="R38" s="247"/>
      <c r="S38" s="247"/>
      <c r="T38" s="247"/>
      <c r="U38" s="247"/>
      <c r="V38" s="247"/>
      <c r="W38" s="247"/>
      <c r="X38" s="247"/>
      <c r="Y38" s="247"/>
      <c r="Z38" s="247"/>
      <c r="AA38" s="247"/>
      <c r="AB38" s="247"/>
      <c r="AC38" s="247"/>
      <c r="AD38" s="247"/>
    </row>
    <row r="39">
      <c r="A39" s="190"/>
      <c r="B39" s="190"/>
      <c r="C39" s="189"/>
      <c r="D39" s="189"/>
      <c r="E39" s="190"/>
      <c r="F39" s="279"/>
      <c r="G39" s="285"/>
      <c r="H39" s="252"/>
      <c r="I39" s="253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Y39" s="276"/>
      <c r="Z39" s="276"/>
      <c r="AA39" s="276"/>
      <c r="AB39" s="276"/>
      <c r="AC39" s="276"/>
      <c r="AD39" s="276"/>
    </row>
    <row r="40">
      <c r="A40" s="190"/>
      <c r="B40" s="190"/>
      <c r="C40" s="189" t="s">
        <v>47</v>
      </c>
      <c r="D40" s="189" t="s">
        <v>46</v>
      </c>
      <c r="E40" s="190"/>
      <c r="F40" s="279" t="s">
        <v>48</v>
      </c>
      <c r="G40" s="272">
        <v>0.0</v>
      </c>
      <c r="H40" s="286">
        <v>0.0</v>
      </c>
      <c r="I40" s="253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Y40" s="276"/>
      <c r="Z40" s="276"/>
      <c r="AA40" s="276"/>
      <c r="AB40" s="276"/>
      <c r="AC40" s="276"/>
      <c r="AD40" s="276"/>
    </row>
    <row r="41">
      <c r="A41" s="190"/>
      <c r="B41" s="190"/>
      <c r="C41" s="189"/>
      <c r="D41" s="189"/>
      <c r="E41" s="190"/>
      <c r="F41" s="279"/>
      <c r="G41" s="285"/>
      <c r="H41" s="252"/>
      <c r="I41" s="253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Y41" s="276"/>
      <c r="Z41" s="276"/>
      <c r="AA41" s="276"/>
      <c r="AB41" s="276"/>
      <c r="AC41" s="276"/>
      <c r="AD41" s="276"/>
    </row>
    <row r="42">
      <c r="A42" s="190"/>
      <c r="B42" s="190"/>
      <c r="C42" s="189" t="s">
        <v>46</v>
      </c>
      <c r="D42" s="189" t="s">
        <v>47</v>
      </c>
      <c r="E42" s="190"/>
      <c r="F42" s="279" t="s">
        <v>62</v>
      </c>
      <c r="G42" s="272">
        <v>0.0</v>
      </c>
      <c r="H42" s="286">
        <v>0.0</v>
      </c>
      <c r="I42" s="253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Y42" s="276"/>
      <c r="Z42" s="276"/>
      <c r="AA42" s="276"/>
      <c r="AB42" s="276"/>
      <c r="AC42" s="276"/>
      <c r="AD42" s="276"/>
    </row>
    <row r="43" ht="18.75" customHeight="1">
      <c r="A43" s="190"/>
      <c r="B43" s="190"/>
      <c r="C43" s="189"/>
      <c r="D43" s="197" t="s">
        <v>46</v>
      </c>
      <c r="E43" s="190"/>
      <c r="F43" s="279" t="s">
        <v>48</v>
      </c>
      <c r="G43" s="272">
        <v>0.0</v>
      </c>
      <c r="H43" s="286">
        <v>0.0</v>
      </c>
      <c r="I43" s="253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Y43" s="276"/>
      <c r="Z43" s="276"/>
      <c r="AA43" s="276"/>
      <c r="AB43" s="276"/>
      <c r="AC43" s="276"/>
      <c r="AD43" s="276"/>
    </row>
    <row r="44">
      <c r="A44" s="190"/>
      <c r="B44" s="190"/>
      <c r="C44" s="190"/>
      <c r="D44" s="189" t="s">
        <v>49</v>
      </c>
      <c r="E44" s="190"/>
      <c r="F44" s="287" t="s">
        <v>63</v>
      </c>
      <c r="G44" s="272">
        <v>0.0</v>
      </c>
      <c r="H44" s="286">
        <v>0.0</v>
      </c>
      <c r="I44" s="253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Y44" s="255"/>
      <c r="Z44" s="288"/>
      <c r="AA44" s="289"/>
      <c r="AB44" s="276"/>
      <c r="AC44" s="276"/>
      <c r="AD44" s="276"/>
    </row>
    <row r="45">
      <c r="A45" s="190"/>
      <c r="B45" s="190"/>
      <c r="C45" s="190"/>
      <c r="D45" s="189" t="s">
        <v>51</v>
      </c>
      <c r="E45" s="190"/>
      <c r="F45" s="287" t="s">
        <v>64</v>
      </c>
      <c r="G45" s="272">
        <v>0.0</v>
      </c>
      <c r="H45" s="286">
        <v>0.0</v>
      </c>
      <c r="I45" s="253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Y45" s="276"/>
      <c r="Z45" s="288"/>
      <c r="AA45" s="289"/>
      <c r="AB45" s="276"/>
      <c r="AC45" s="288"/>
      <c r="AD45" s="276"/>
    </row>
    <row r="46">
      <c r="A46" s="190"/>
      <c r="B46" s="190"/>
      <c r="C46" s="190"/>
      <c r="D46" s="189" t="s">
        <v>53</v>
      </c>
      <c r="E46" s="190"/>
      <c r="F46" s="287" t="s">
        <v>65</v>
      </c>
      <c r="G46" s="272">
        <v>0.0</v>
      </c>
      <c r="H46" s="286">
        <v>0.0</v>
      </c>
      <c r="I46" s="253"/>
      <c r="J46" s="283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  <c r="X46" s="283"/>
      <c r="Y46" s="283"/>
      <c r="Z46" s="288"/>
      <c r="AA46" s="289"/>
      <c r="AB46" s="283"/>
      <c r="AC46" s="288"/>
      <c r="AD46" s="283"/>
    </row>
    <row r="47">
      <c r="A47" s="190"/>
      <c r="B47" s="190"/>
      <c r="C47" s="190"/>
      <c r="D47" s="197" t="s">
        <v>55</v>
      </c>
      <c r="E47" s="190"/>
      <c r="F47" s="290" t="s">
        <v>66</v>
      </c>
      <c r="G47" s="272">
        <v>0.0</v>
      </c>
      <c r="H47" s="286">
        <v>0.0</v>
      </c>
      <c r="I47" s="253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Y47" s="276"/>
      <c r="Z47" s="288"/>
      <c r="AA47" s="289"/>
      <c r="AB47" s="276"/>
      <c r="AC47" s="288"/>
      <c r="AD47" s="276"/>
    </row>
    <row r="48">
      <c r="A48" s="190"/>
      <c r="B48" s="190"/>
      <c r="C48" s="189"/>
      <c r="D48" s="189"/>
      <c r="E48" s="190"/>
      <c r="F48" s="279"/>
      <c r="G48" s="285"/>
      <c r="H48" s="252"/>
      <c r="I48" s="253"/>
      <c r="J48" s="283"/>
      <c r="K48" s="283"/>
      <c r="L48" s="283"/>
      <c r="M48" s="283"/>
      <c r="N48" s="283"/>
      <c r="O48" s="283"/>
      <c r="P48" s="283"/>
      <c r="Q48" s="283"/>
      <c r="R48" s="283"/>
      <c r="S48" s="283"/>
      <c r="T48" s="283"/>
      <c r="U48" s="283"/>
      <c r="V48" s="283"/>
      <c r="W48" s="283"/>
      <c r="X48" s="283"/>
      <c r="Y48" s="283"/>
      <c r="Z48" s="288"/>
      <c r="AA48" s="289"/>
      <c r="AB48" s="283"/>
      <c r="AC48" s="288"/>
      <c r="AD48" s="283"/>
    </row>
    <row r="49">
      <c r="A49" s="190"/>
      <c r="B49" s="190"/>
      <c r="C49" s="189" t="s">
        <v>49</v>
      </c>
      <c r="D49" s="189" t="s">
        <v>47</v>
      </c>
      <c r="E49" s="190"/>
      <c r="F49" s="279" t="s">
        <v>67</v>
      </c>
      <c r="G49" s="272">
        <v>0.0</v>
      </c>
      <c r="H49" s="286">
        <v>0.0</v>
      </c>
      <c r="I49" s="253"/>
      <c r="J49" s="283"/>
      <c r="K49" s="283"/>
      <c r="L49" s="283"/>
      <c r="M49" s="283"/>
      <c r="N49" s="283"/>
      <c r="O49" s="283"/>
      <c r="P49" s="283"/>
      <c r="Q49" s="283"/>
      <c r="R49" s="283"/>
      <c r="S49" s="283"/>
      <c r="T49" s="283"/>
      <c r="U49" s="283"/>
      <c r="V49" s="283"/>
      <c r="W49" s="283"/>
      <c r="X49" s="283"/>
      <c r="Y49" s="283"/>
      <c r="Z49" s="288"/>
      <c r="AA49" s="289"/>
      <c r="AB49" s="283"/>
      <c r="AC49" s="288"/>
      <c r="AD49" s="283"/>
    </row>
    <row r="50">
      <c r="A50" s="190"/>
      <c r="B50" s="190"/>
      <c r="C50" s="190"/>
      <c r="D50" s="197" t="s">
        <v>46</v>
      </c>
      <c r="E50" s="190"/>
      <c r="F50" s="279" t="s">
        <v>48</v>
      </c>
      <c r="G50" s="272">
        <v>0.0</v>
      </c>
      <c r="H50" s="286">
        <v>0.0</v>
      </c>
      <c r="I50" s="253"/>
      <c r="J50" s="283"/>
      <c r="K50" s="283"/>
      <c r="L50" s="283"/>
      <c r="M50" s="283"/>
      <c r="N50" s="283"/>
      <c r="O50" s="283"/>
      <c r="P50" s="283"/>
      <c r="Q50" s="283"/>
      <c r="R50" s="283"/>
      <c r="S50" s="283"/>
      <c r="T50" s="283"/>
      <c r="U50" s="283"/>
      <c r="V50" s="283"/>
      <c r="W50" s="283"/>
      <c r="X50" s="283"/>
      <c r="Y50" s="283"/>
      <c r="Z50" s="288"/>
      <c r="AA50" s="289"/>
      <c r="AB50" s="283"/>
      <c r="AC50" s="288"/>
      <c r="AD50" s="283"/>
    </row>
    <row r="51">
      <c r="A51" s="190"/>
      <c r="B51" s="190"/>
      <c r="C51" s="190"/>
      <c r="D51" s="189" t="s">
        <v>49</v>
      </c>
      <c r="E51" s="190"/>
      <c r="F51" s="287" t="s">
        <v>68</v>
      </c>
      <c r="G51" s="272">
        <v>0.0</v>
      </c>
      <c r="H51" s="286">
        <v>0.0</v>
      </c>
      <c r="I51" s="25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8"/>
      <c r="AA51" s="289"/>
      <c r="AB51" s="283"/>
      <c r="AC51" s="288"/>
      <c r="AD51" s="283"/>
    </row>
    <row r="52">
      <c r="A52" s="190"/>
      <c r="B52" s="190"/>
      <c r="C52" s="190"/>
      <c r="D52" s="189" t="s">
        <v>51</v>
      </c>
      <c r="E52" s="190"/>
      <c r="F52" s="287" t="s">
        <v>69</v>
      </c>
      <c r="G52" s="272">
        <v>0.0</v>
      </c>
      <c r="H52" s="286">
        <v>0.0</v>
      </c>
      <c r="I52" s="25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8"/>
      <c r="AA52" s="289"/>
      <c r="AB52" s="283"/>
      <c r="AC52" s="288"/>
      <c r="AD52" s="283"/>
    </row>
    <row r="53">
      <c r="A53" s="190"/>
      <c r="B53" s="190"/>
      <c r="C53" s="190"/>
      <c r="D53" s="189" t="s">
        <v>53</v>
      </c>
      <c r="E53" s="190"/>
      <c r="F53" s="290" t="s">
        <v>70</v>
      </c>
      <c r="G53" s="272">
        <v>0.0</v>
      </c>
      <c r="H53" s="286">
        <v>0.0</v>
      </c>
      <c r="I53" s="253"/>
      <c r="J53" s="283"/>
      <c r="K53" s="283"/>
      <c r="L53" s="283"/>
      <c r="M53" s="283"/>
      <c r="N53" s="283"/>
      <c r="O53" s="283"/>
      <c r="P53" s="283"/>
      <c r="Q53" s="283"/>
      <c r="R53" s="283"/>
      <c r="S53" s="283"/>
      <c r="T53" s="283"/>
      <c r="U53" s="283"/>
      <c r="V53" s="283"/>
      <c r="W53" s="283"/>
      <c r="X53" s="283"/>
      <c r="Y53" s="283"/>
      <c r="Z53" s="288"/>
      <c r="AA53" s="289"/>
      <c r="AB53" s="283"/>
      <c r="AC53" s="288"/>
      <c r="AD53" s="283"/>
    </row>
    <row r="54">
      <c r="A54" s="190"/>
      <c r="B54" s="190"/>
      <c r="C54" s="190"/>
      <c r="D54" s="189" t="s">
        <v>55</v>
      </c>
      <c r="E54" s="190"/>
      <c r="F54" s="287" t="s">
        <v>71</v>
      </c>
      <c r="G54" s="272">
        <v>0.0</v>
      </c>
      <c r="H54" s="286">
        <v>0.0</v>
      </c>
      <c r="I54" s="253"/>
      <c r="J54" s="283"/>
      <c r="K54" s="283"/>
      <c r="L54" s="283"/>
      <c r="M54" s="283"/>
      <c r="N54" s="283"/>
      <c r="O54" s="283"/>
      <c r="P54" s="283"/>
      <c r="Q54" s="283"/>
      <c r="R54" s="283"/>
      <c r="S54" s="283"/>
      <c r="T54" s="283"/>
      <c r="U54" s="283"/>
      <c r="V54" s="283"/>
      <c r="W54" s="283"/>
      <c r="X54" s="283"/>
      <c r="Y54" s="283"/>
      <c r="Z54" s="288"/>
      <c r="AA54" s="289"/>
      <c r="AB54" s="283"/>
      <c r="AC54" s="288"/>
      <c r="AD54" s="283"/>
    </row>
    <row r="55">
      <c r="A55" s="190"/>
      <c r="B55" s="190"/>
      <c r="C55" s="190"/>
      <c r="D55" s="190"/>
      <c r="E55" s="190"/>
      <c r="F55" s="279"/>
      <c r="G55" s="291"/>
      <c r="H55" s="280"/>
      <c r="I55" s="253"/>
      <c r="J55" s="283"/>
      <c r="K55" s="283"/>
      <c r="L55" s="283"/>
      <c r="M55" s="283"/>
      <c r="N55" s="283"/>
      <c r="O55" s="283"/>
      <c r="P55" s="283"/>
      <c r="Q55" s="283"/>
      <c r="R55" s="283"/>
      <c r="S55" s="283"/>
      <c r="T55" s="283"/>
      <c r="U55" s="283"/>
      <c r="V55" s="283"/>
      <c r="W55" s="283"/>
      <c r="X55" s="283"/>
      <c r="Y55" s="283"/>
      <c r="Z55" s="292"/>
      <c r="AA55" s="289"/>
      <c r="AB55" s="283"/>
      <c r="AC55" s="283"/>
      <c r="AD55" s="283"/>
    </row>
    <row r="56">
      <c r="A56" s="190"/>
      <c r="B56" s="190"/>
      <c r="C56" s="189" t="s">
        <v>51</v>
      </c>
      <c r="D56" s="189" t="s">
        <v>47</v>
      </c>
      <c r="E56" s="190"/>
      <c r="F56" s="279" t="s">
        <v>72</v>
      </c>
      <c r="G56" s="272">
        <v>0.0</v>
      </c>
      <c r="H56" s="286">
        <v>0.0</v>
      </c>
      <c r="I56" s="253"/>
      <c r="J56" s="283"/>
      <c r="K56" s="283"/>
      <c r="L56" s="283"/>
      <c r="M56" s="283"/>
      <c r="N56" s="283"/>
      <c r="O56" s="283"/>
      <c r="P56" s="283"/>
      <c r="Q56" s="283"/>
      <c r="R56" s="283"/>
      <c r="S56" s="283"/>
      <c r="T56" s="283"/>
      <c r="U56" s="283"/>
      <c r="V56" s="283"/>
      <c r="W56" s="283"/>
      <c r="X56" s="283"/>
      <c r="Y56" s="283"/>
      <c r="Z56" s="288"/>
      <c r="AA56" s="289"/>
      <c r="AB56" s="283"/>
      <c r="AC56" s="283"/>
      <c r="AD56" s="283"/>
    </row>
    <row r="57">
      <c r="A57" s="190"/>
      <c r="B57" s="190"/>
      <c r="C57" s="190"/>
      <c r="D57" s="197" t="s">
        <v>46</v>
      </c>
      <c r="E57" s="190"/>
      <c r="F57" s="279" t="s">
        <v>48</v>
      </c>
      <c r="G57" s="272">
        <v>0.0</v>
      </c>
      <c r="H57" s="286">
        <v>0.0</v>
      </c>
      <c r="I57" s="253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Y57" s="276"/>
      <c r="Z57" s="288"/>
      <c r="AA57" s="289"/>
      <c r="AB57" s="276"/>
      <c r="AC57" s="276"/>
      <c r="AD57" s="276"/>
    </row>
    <row r="58">
      <c r="A58" s="190"/>
      <c r="B58" s="190"/>
      <c r="C58" s="190"/>
      <c r="D58" s="189" t="s">
        <v>49</v>
      </c>
      <c r="E58" s="190"/>
      <c r="F58" s="290" t="s">
        <v>73</v>
      </c>
      <c r="G58" s="272">
        <v>0.0</v>
      </c>
      <c r="H58" s="286">
        <v>0.0</v>
      </c>
      <c r="I58" s="253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Y58" s="276"/>
      <c r="Z58" s="288"/>
      <c r="AA58" s="289"/>
      <c r="AB58" s="276"/>
      <c r="AC58" s="276"/>
      <c r="AD58" s="276"/>
    </row>
    <row r="59">
      <c r="A59" s="190"/>
      <c r="B59" s="190"/>
      <c r="C59" s="190"/>
      <c r="D59" s="197" t="s">
        <v>51</v>
      </c>
      <c r="E59" s="190"/>
      <c r="F59" s="287" t="s">
        <v>74</v>
      </c>
      <c r="G59" s="272">
        <v>0.0</v>
      </c>
      <c r="H59" s="286">
        <v>0.0</v>
      </c>
      <c r="I59" s="253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Y59" s="276"/>
      <c r="Z59" s="276"/>
      <c r="AA59" s="276"/>
      <c r="AB59" s="276"/>
      <c r="AC59" s="276"/>
      <c r="AD59" s="276"/>
    </row>
    <row r="60">
      <c r="A60" s="190"/>
      <c r="B60" s="190"/>
      <c r="C60" s="190"/>
      <c r="D60" s="197" t="s">
        <v>53</v>
      </c>
      <c r="E60" s="190"/>
      <c r="F60" s="293" t="s">
        <v>115</v>
      </c>
      <c r="G60" s="272">
        <v>0.0</v>
      </c>
      <c r="H60" s="286">
        <v>0.0</v>
      </c>
      <c r="I60" s="253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Y60" s="276"/>
      <c r="Z60" s="276"/>
      <c r="AA60" s="276"/>
      <c r="AB60" s="276"/>
      <c r="AC60" s="276"/>
      <c r="AD60" s="276"/>
    </row>
    <row r="61">
      <c r="A61" s="190"/>
      <c r="B61" s="190"/>
      <c r="C61" s="189"/>
      <c r="D61" s="189"/>
      <c r="E61" s="190"/>
      <c r="F61" s="279" t="s">
        <v>116</v>
      </c>
      <c r="G61" s="285"/>
      <c r="H61" s="252"/>
      <c r="I61" s="253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Y61" s="276"/>
      <c r="Z61" s="276"/>
      <c r="AA61" s="276"/>
      <c r="AB61" s="276"/>
      <c r="AC61" s="276"/>
      <c r="AD61" s="276"/>
    </row>
    <row r="62">
      <c r="A62" s="190"/>
      <c r="B62" s="190"/>
      <c r="C62" s="190"/>
      <c r="D62" s="189"/>
      <c r="E62" s="190"/>
      <c r="F62" s="293"/>
      <c r="G62" s="285"/>
      <c r="H62" s="252"/>
      <c r="I62" s="253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Y62" s="276"/>
      <c r="Z62" s="276"/>
      <c r="AA62" s="276"/>
      <c r="AB62" s="276"/>
      <c r="AC62" s="276"/>
      <c r="AD62" s="276"/>
    </row>
    <row r="63">
      <c r="A63" s="190"/>
      <c r="B63" s="190"/>
      <c r="C63" s="189" t="s">
        <v>53</v>
      </c>
      <c r="D63" s="189" t="s">
        <v>47</v>
      </c>
      <c r="E63" s="190"/>
      <c r="F63" s="279" t="s">
        <v>76</v>
      </c>
      <c r="G63" s="272">
        <v>0.0</v>
      </c>
      <c r="H63" s="286">
        <v>0.0</v>
      </c>
      <c r="I63" s="253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Y63" s="276"/>
      <c r="Z63" s="276"/>
      <c r="AA63" s="276"/>
      <c r="AB63" s="276"/>
      <c r="AC63" s="276"/>
      <c r="AD63" s="276"/>
    </row>
    <row r="64">
      <c r="A64" s="190"/>
      <c r="B64" s="190"/>
      <c r="C64" s="189"/>
      <c r="D64" s="197" t="s">
        <v>46</v>
      </c>
      <c r="E64" s="190"/>
      <c r="F64" s="279" t="s">
        <v>48</v>
      </c>
      <c r="G64" s="272">
        <v>0.0</v>
      </c>
      <c r="H64" s="286">
        <v>0.0</v>
      </c>
      <c r="I64" s="274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Y64" s="276"/>
      <c r="Z64" s="276"/>
      <c r="AA64" s="276"/>
      <c r="AB64" s="276"/>
      <c r="AC64" s="276"/>
      <c r="AD64" s="276"/>
    </row>
    <row r="65">
      <c r="A65" s="190"/>
      <c r="B65" s="190"/>
      <c r="C65" s="190"/>
      <c r="D65" s="189" t="s">
        <v>49</v>
      </c>
      <c r="E65" s="190"/>
      <c r="F65" s="293" t="s">
        <v>77</v>
      </c>
      <c r="G65" s="272">
        <v>0.0</v>
      </c>
      <c r="H65" s="286">
        <v>0.0</v>
      </c>
      <c r="I65" s="253"/>
      <c r="J65" s="276"/>
      <c r="K65" s="276"/>
      <c r="L65" s="276"/>
      <c r="M65" s="276"/>
      <c r="N65" s="276"/>
      <c r="O65" s="276"/>
      <c r="P65" s="276"/>
      <c r="Q65" s="276"/>
      <c r="R65" s="276"/>
      <c r="S65" s="276"/>
      <c r="T65" s="276"/>
      <c r="U65" s="276"/>
      <c r="V65" s="276"/>
      <c r="W65" s="276"/>
      <c r="X65" s="276"/>
      <c r="Y65" s="276"/>
      <c r="Z65" s="276"/>
      <c r="AA65" s="276"/>
      <c r="AB65" s="276"/>
      <c r="AC65" s="276"/>
      <c r="AD65" s="276"/>
    </row>
    <row r="66">
      <c r="A66" s="190"/>
      <c r="B66" s="190"/>
      <c r="C66" s="190"/>
      <c r="D66" s="189" t="s">
        <v>51</v>
      </c>
      <c r="E66" s="190"/>
      <c r="F66" s="293" t="s">
        <v>78</v>
      </c>
      <c r="G66" s="272">
        <v>0.0</v>
      </c>
      <c r="H66" s="286">
        <v>0.0</v>
      </c>
      <c r="I66" s="253"/>
      <c r="J66" s="276"/>
      <c r="K66" s="276"/>
      <c r="L66" s="276"/>
      <c r="M66" s="276"/>
      <c r="N66" s="276"/>
      <c r="O66" s="276"/>
      <c r="P66" s="276"/>
      <c r="Q66" s="276"/>
      <c r="R66" s="276"/>
      <c r="S66" s="276"/>
      <c r="T66" s="276"/>
      <c r="U66" s="276"/>
      <c r="V66" s="276"/>
      <c r="W66" s="276"/>
      <c r="X66" s="276"/>
      <c r="Y66" s="276"/>
      <c r="Z66" s="276"/>
      <c r="AA66" s="276"/>
      <c r="AB66" s="276"/>
      <c r="AC66" s="276"/>
      <c r="AD66" s="276"/>
    </row>
    <row r="67">
      <c r="A67" s="190"/>
      <c r="B67" s="190"/>
      <c r="C67" s="190"/>
      <c r="D67" s="197" t="s">
        <v>53</v>
      </c>
      <c r="E67" s="190"/>
      <c r="F67" s="279" t="s">
        <v>79</v>
      </c>
      <c r="G67" s="272">
        <v>0.0</v>
      </c>
      <c r="H67" s="286">
        <v>0.0</v>
      </c>
      <c r="I67" s="253"/>
      <c r="J67" s="276"/>
      <c r="K67" s="276"/>
      <c r="L67" s="276"/>
      <c r="M67" s="276"/>
      <c r="N67" s="276"/>
      <c r="O67" s="276"/>
      <c r="P67" s="276"/>
      <c r="Q67" s="276"/>
      <c r="R67" s="276"/>
      <c r="S67" s="276"/>
      <c r="T67" s="276"/>
      <c r="U67" s="276"/>
      <c r="V67" s="276"/>
      <c r="W67" s="276"/>
      <c r="X67" s="276"/>
      <c r="Y67" s="276"/>
      <c r="Z67" s="276"/>
      <c r="AA67" s="276"/>
      <c r="AB67" s="276"/>
      <c r="AC67" s="276"/>
      <c r="AD67" s="276"/>
    </row>
    <row r="68">
      <c r="A68" s="190"/>
      <c r="B68" s="190"/>
      <c r="C68" s="190"/>
      <c r="D68" s="197" t="s">
        <v>55</v>
      </c>
      <c r="E68" s="190"/>
      <c r="F68" s="287" t="s">
        <v>80</v>
      </c>
      <c r="G68" s="272">
        <v>0.0</v>
      </c>
      <c r="H68" s="286">
        <v>0.0</v>
      </c>
      <c r="I68" s="253"/>
      <c r="J68" s="276"/>
      <c r="K68" s="276"/>
      <c r="L68" s="276"/>
      <c r="M68" s="276"/>
      <c r="N68" s="276"/>
      <c r="O68" s="276"/>
      <c r="P68" s="276"/>
      <c r="Q68" s="276"/>
      <c r="R68" s="276"/>
      <c r="S68" s="276"/>
      <c r="T68" s="276"/>
      <c r="U68" s="276"/>
      <c r="V68" s="276"/>
      <c r="W68" s="276"/>
      <c r="X68" s="276"/>
      <c r="Y68" s="276"/>
      <c r="Z68" s="276"/>
      <c r="AA68" s="276"/>
      <c r="AB68" s="276"/>
      <c r="AC68" s="276"/>
      <c r="AD68" s="276"/>
    </row>
    <row r="69">
      <c r="A69" s="190"/>
      <c r="B69" s="190"/>
      <c r="C69" s="190"/>
      <c r="D69" s="197" t="s">
        <v>57</v>
      </c>
      <c r="E69" s="190"/>
      <c r="F69" s="287" t="s">
        <v>81</v>
      </c>
      <c r="G69" s="272">
        <v>0.0</v>
      </c>
      <c r="H69" s="286">
        <v>0.0</v>
      </c>
      <c r="I69" s="253"/>
      <c r="J69" s="276"/>
      <c r="K69" s="276"/>
      <c r="L69" s="276"/>
      <c r="M69" s="276"/>
      <c r="N69" s="276"/>
      <c r="O69" s="276"/>
      <c r="P69" s="276"/>
      <c r="Q69" s="276"/>
      <c r="R69" s="276"/>
      <c r="S69" s="276"/>
      <c r="T69" s="276"/>
      <c r="U69" s="276"/>
      <c r="V69" s="276"/>
      <c r="W69" s="276"/>
      <c r="X69" s="276"/>
      <c r="Y69" s="276"/>
      <c r="Z69" s="276"/>
      <c r="AA69" s="276"/>
      <c r="AB69" s="276"/>
      <c r="AC69" s="276"/>
      <c r="AD69" s="276"/>
    </row>
    <row r="70">
      <c r="A70" s="190"/>
      <c r="B70" s="190"/>
      <c r="C70" s="190"/>
      <c r="D70" s="189"/>
      <c r="E70" s="190"/>
      <c r="F70" s="293"/>
      <c r="G70" s="285"/>
      <c r="H70" s="252"/>
      <c r="I70" s="253"/>
      <c r="J70" s="276"/>
      <c r="K70" s="276"/>
      <c r="L70" s="276"/>
      <c r="M70" s="276"/>
      <c r="N70" s="276"/>
      <c r="O70" s="276"/>
      <c r="P70" s="276"/>
      <c r="Q70" s="276"/>
      <c r="R70" s="276"/>
      <c r="S70" s="276"/>
      <c r="T70" s="276"/>
      <c r="U70" s="276"/>
      <c r="V70" s="276"/>
      <c r="W70" s="276"/>
      <c r="X70" s="276"/>
      <c r="Y70" s="276"/>
      <c r="Z70" s="276"/>
      <c r="AA70" s="276"/>
      <c r="AB70" s="276"/>
      <c r="AC70" s="276"/>
      <c r="AD70" s="276"/>
    </row>
    <row r="71">
      <c r="A71" s="190"/>
      <c r="B71" s="190"/>
      <c r="C71" s="189" t="s">
        <v>59</v>
      </c>
      <c r="D71" s="189" t="s">
        <v>59</v>
      </c>
      <c r="E71" s="190"/>
      <c r="F71" s="279" t="s">
        <v>60</v>
      </c>
      <c r="G71" s="272">
        <v>0.0</v>
      </c>
      <c r="H71" s="286">
        <v>0.0</v>
      </c>
      <c r="I71" s="274"/>
      <c r="J71" s="276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6"/>
      <c r="X71" s="276"/>
      <c r="Y71" s="276"/>
      <c r="Z71" s="276"/>
      <c r="AA71" s="276"/>
      <c r="AB71" s="276"/>
      <c r="AC71" s="276"/>
      <c r="AD71" s="276"/>
    </row>
    <row r="72">
      <c r="A72" s="225"/>
      <c r="B72" s="223"/>
      <c r="C72" s="223"/>
      <c r="D72" s="223"/>
      <c r="E72" s="223"/>
      <c r="F72" s="229"/>
      <c r="G72" s="284"/>
      <c r="H72" s="232"/>
      <c r="I72" s="232"/>
      <c r="J72" s="233"/>
      <c r="K72" s="233"/>
      <c r="L72" s="233"/>
      <c r="M72" s="233"/>
      <c r="N72" s="233"/>
      <c r="O72" s="233"/>
      <c r="P72" s="233"/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</row>
    <row r="73">
      <c r="A73" s="241"/>
      <c r="B73" s="242" t="s">
        <v>57</v>
      </c>
      <c r="C73" s="242" t="s">
        <v>47</v>
      </c>
      <c r="D73" s="242" t="s">
        <v>47</v>
      </c>
      <c r="E73" s="241"/>
      <c r="F73" s="243" t="s">
        <v>22</v>
      </c>
      <c r="G73" s="277">
        <v>0.0</v>
      </c>
      <c r="H73" s="294">
        <v>0.0</v>
      </c>
      <c r="I73" s="246"/>
      <c r="J73" s="295"/>
      <c r="K73" s="295"/>
      <c r="L73" s="295"/>
      <c r="M73" s="295"/>
      <c r="N73" s="295"/>
      <c r="O73" s="295"/>
      <c r="P73" s="295"/>
      <c r="Q73" s="295"/>
      <c r="R73" s="295"/>
      <c r="S73" s="295"/>
      <c r="T73" s="295"/>
      <c r="U73" s="295"/>
      <c r="V73" s="295"/>
      <c r="W73" s="295"/>
      <c r="X73" s="295"/>
      <c r="Y73" s="295"/>
      <c r="Z73" s="295"/>
      <c r="AA73" s="295"/>
      <c r="AB73" s="295"/>
      <c r="AC73" s="295"/>
      <c r="AD73" s="295"/>
    </row>
    <row r="74">
      <c r="A74" s="190"/>
      <c r="B74" s="190"/>
      <c r="C74" s="189"/>
      <c r="D74" s="189"/>
      <c r="E74" s="190"/>
      <c r="F74" s="279"/>
      <c r="G74" s="285"/>
      <c r="H74" s="252"/>
      <c r="I74" s="253"/>
      <c r="J74" s="276"/>
      <c r="K74" s="276"/>
      <c r="L74" s="276"/>
      <c r="M74" s="276"/>
      <c r="N74" s="276"/>
      <c r="O74" s="276"/>
      <c r="P74" s="276"/>
      <c r="Q74" s="276"/>
      <c r="R74" s="276"/>
      <c r="S74" s="276"/>
      <c r="T74" s="276"/>
      <c r="U74" s="276"/>
      <c r="V74" s="276"/>
      <c r="W74" s="276"/>
      <c r="X74" s="276"/>
      <c r="Y74" s="276"/>
      <c r="Z74" s="276"/>
      <c r="AA74" s="276"/>
      <c r="AB74" s="276"/>
      <c r="AC74" s="276"/>
      <c r="AD74" s="276"/>
    </row>
    <row r="75">
      <c r="A75" s="190"/>
      <c r="B75" s="190"/>
      <c r="C75" s="189" t="s">
        <v>47</v>
      </c>
      <c r="D75" s="189" t="s">
        <v>49</v>
      </c>
      <c r="E75" s="190"/>
      <c r="F75" s="296" t="s">
        <v>82</v>
      </c>
      <c r="G75" s="272">
        <v>0.0</v>
      </c>
      <c r="H75" s="286">
        <v>0.0</v>
      </c>
      <c r="I75" s="253"/>
      <c r="J75" s="276"/>
      <c r="K75" s="276"/>
      <c r="L75" s="276"/>
      <c r="M75" s="276"/>
      <c r="N75" s="276"/>
      <c r="O75" s="276"/>
      <c r="P75" s="276"/>
      <c r="Q75" s="276"/>
      <c r="R75" s="276"/>
      <c r="S75" s="276"/>
      <c r="T75" s="276"/>
      <c r="U75" s="276"/>
      <c r="V75" s="276"/>
      <c r="W75" s="276"/>
      <c r="X75" s="276"/>
      <c r="Y75" s="276"/>
      <c r="Z75" s="276"/>
      <c r="AA75" s="276"/>
      <c r="AB75" s="276"/>
      <c r="AC75" s="276"/>
      <c r="AD75" s="276"/>
    </row>
    <row r="76">
      <c r="A76" s="190"/>
      <c r="B76" s="190"/>
      <c r="C76" s="189" t="s">
        <v>59</v>
      </c>
      <c r="D76" s="189" t="s">
        <v>59</v>
      </c>
      <c r="E76" s="190"/>
      <c r="F76" s="279" t="s">
        <v>60</v>
      </c>
      <c r="G76" s="272">
        <v>0.0</v>
      </c>
      <c r="H76" s="297">
        <v>0.0</v>
      </c>
      <c r="I76" s="274"/>
      <c r="J76" s="276"/>
      <c r="K76" s="276"/>
      <c r="L76" s="276"/>
      <c r="M76" s="276"/>
      <c r="N76" s="276"/>
      <c r="O76" s="276"/>
      <c r="P76" s="276"/>
      <c r="Q76" s="276"/>
      <c r="R76" s="276"/>
      <c r="S76" s="276"/>
      <c r="T76" s="276"/>
      <c r="U76" s="276"/>
      <c r="V76" s="276"/>
      <c r="W76" s="276"/>
      <c r="X76" s="276"/>
      <c r="Y76" s="276"/>
      <c r="Z76" s="276"/>
      <c r="AA76" s="276"/>
      <c r="AB76" s="276"/>
      <c r="AC76" s="276"/>
      <c r="AD76" s="276"/>
    </row>
    <row r="77">
      <c r="A77" s="225"/>
      <c r="B77" s="223"/>
      <c r="C77" s="223"/>
      <c r="D77" s="223"/>
      <c r="E77" s="223"/>
      <c r="F77" s="229"/>
      <c r="G77" s="284"/>
      <c r="H77" s="232"/>
      <c r="I77" s="232"/>
      <c r="J77" s="233"/>
      <c r="K77" s="233"/>
      <c r="L77" s="233"/>
      <c r="M77" s="233"/>
      <c r="N77" s="233"/>
      <c r="O77" s="233"/>
      <c r="P77" s="233"/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/>
      <c r="AB77" s="233"/>
      <c r="AC77" s="233"/>
      <c r="AD77" s="233"/>
    </row>
    <row r="78">
      <c r="A78" s="241"/>
      <c r="B78" s="242" t="s">
        <v>83</v>
      </c>
      <c r="C78" s="242" t="s">
        <v>47</v>
      </c>
      <c r="D78" s="242" t="s">
        <v>47</v>
      </c>
      <c r="E78" s="241"/>
      <c r="F78" s="243" t="s">
        <v>23</v>
      </c>
      <c r="G78" s="277">
        <v>0.0</v>
      </c>
      <c r="H78" s="245">
        <f>G78/$G$9</f>
        <v>0</v>
      </c>
      <c r="I78" s="278"/>
      <c r="J78" s="247"/>
      <c r="K78" s="247"/>
      <c r="L78" s="247"/>
      <c r="M78" s="247"/>
      <c r="N78" s="247"/>
      <c r="O78" s="247"/>
      <c r="P78" s="247"/>
      <c r="Q78" s="247"/>
      <c r="R78" s="247"/>
      <c r="S78" s="247"/>
      <c r="T78" s="247"/>
      <c r="U78" s="247"/>
      <c r="V78" s="247"/>
      <c r="W78" s="247"/>
      <c r="X78" s="247"/>
      <c r="Y78" s="247"/>
      <c r="Z78" s="247"/>
      <c r="AA78" s="247"/>
      <c r="AB78" s="247"/>
      <c r="AC78" s="247"/>
      <c r="AD78" s="247"/>
    </row>
    <row r="79">
      <c r="A79" s="190"/>
      <c r="B79" s="190"/>
      <c r="C79" s="189"/>
      <c r="D79" s="189"/>
      <c r="E79" s="190"/>
      <c r="F79" s="279"/>
      <c r="G79" s="285"/>
      <c r="H79" s="252"/>
      <c r="I79" s="253"/>
      <c r="J79" s="276"/>
      <c r="K79" s="276"/>
      <c r="L79" s="276"/>
      <c r="M79" s="276"/>
      <c r="N79" s="276"/>
      <c r="O79" s="276"/>
      <c r="P79" s="276"/>
      <c r="Q79" s="276"/>
      <c r="R79" s="276"/>
      <c r="S79" s="276"/>
      <c r="T79" s="276"/>
      <c r="U79" s="276"/>
      <c r="V79" s="276"/>
      <c r="W79" s="276"/>
      <c r="X79" s="276"/>
      <c r="Y79" s="276"/>
      <c r="Z79" s="276"/>
      <c r="AA79" s="276"/>
      <c r="AB79" s="276"/>
      <c r="AC79" s="276"/>
      <c r="AD79" s="276"/>
    </row>
    <row r="80">
      <c r="A80" s="190"/>
      <c r="B80" s="190"/>
      <c r="C80" s="189" t="s">
        <v>47</v>
      </c>
      <c r="D80" s="189" t="s">
        <v>46</v>
      </c>
      <c r="E80" s="190"/>
      <c r="F80" s="279" t="s">
        <v>48</v>
      </c>
      <c r="G80" s="272">
        <v>0.0</v>
      </c>
      <c r="H80" s="286">
        <v>0.0</v>
      </c>
      <c r="I80" s="253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  <c r="Y80" s="276"/>
      <c r="Z80" s="276"/>
      <c r="AA80" s="276"/>
      <c r="AB80" s="276"/>
      <c r="AC80" s="276"/>
      <c r="AD80" s="276"/>
    </row>
    <row r="81">
      <c r="A81" s="190"/>
      <c r="B81" s="190"/>
      <c r="C81" s="189" t="s">
        <v>59</v>
      </c>
      <c r="D81" s="189" t="s">
        <v>59</v>
      </c>
      <c r="E81" s="190"/>
      <c r="F81" s="279" t="s">
        <v>60</v>
      </c>
      <c r="G81" s="272">
        <v>0.0</v>
      </c>
      <c r="H81" s="297">
        <v>0.0</v>
      </c>
      <c r="I81" s="274"/>
      <c r="J81" s="276"/>
      <c r="K81" s="276"/>
      <c r="L81" s="276"/>
      <c r="M81" s="276"/>
      <c r="N81" s="276"/>
      <c r="O81" s="276"/>
      <c r="P81" s="276"/>
      <c r="Q81" s="276"/>
      <c r="R81" s="276"/>
      <c r="S81" s="276"/>
      <c r="T81" s="276"/>
      <c r="U81" s="276"/>
      <c r="V81" s="276"/>
      <c r="W81" s="276"/>
      <c r="X81" s="276"/>
      <c r="Y81" s="276"/>
      <c r="Z81" s="276"/>
      <c r="AA81" s="276"/>
      <c r="AB81" s="276"/>
      <c r="AC81" s="276"/>
      <c r="AD81" s="276"/>
    </row>
    <row r="82">
      <c r="A82" s="225"/>
      <c r="B82" s="223"/>
      <c r="C82" s="223"/>
      <c r="D82" s="223"/>
      <c r="E82" s="223"/>
      <c r="F82" s="229"/>
      <c r="G82" s="284"/>
      <c r="H82" s="232"/>
      <c r="I82" s="232"/>
      <c r="J82" s="298"/>
      <c r="K82" s="298"/>
      <c r="L82" s="298"/>
      <c r="M82" s="298"/>
      <c r="N82" s="298"/>
      <c r="O82" s="298"/>
      <c r="P82" s="298"/>
      <c r="Q82" s="298"/>
      <c r="R82" s="298"/>
      <c r="S82" s="298"/>
      <c r="T82" s="298"/>
      <c r="U82" s="298"/>
      <c r="V82" s="298"/>
      <c r="W82" s="298"/>
      <c r="X82" s="298"/>
      <c r="Y82" s="298"/>
      <c r="Z82" s="298"/>
      <c r="AA82" s="298"/>
      <c r="AB82" s="298"/>
      <c r="AC82" s="298"/>
      <c r="AD82" s="298"/>
    </row>
    <row r="83">
      <c r="A83" s="241"/>
      <c r="B83" s="242" t="s">
        <v>84</v>
      </c>
      <c r="C83" s="242" t="s">
        <v>47</v>
      </c>
      <c r="D83" s="242" t="s">
        <v>47</v>
      </c>
      <c r="E83" s="241"/>
      <c r="F83" s="243" t="s">
        <v>24</v>
      </c>
      <c r="G83" s="244">
        <f>G85+G87+G89</f>
        <v>50000</v>
      </c>
      <c r="H83" s="245">
        <f>G83/$G$9</f>
        <v>0.02633196284</v>
      </c>
      <c r="I83" s="278"/>
      <c r="J83" s="247"/>
      <c r="K83" s="247"/>
      <c r="L83" s="247"/>
      <c r="M83" s="247"/>
      <c r="N83" s="247"/>
      <c r="O83" s="247"/>
      <c r="P83" s="247"/>
      <c r="Q83" s="247"/>
      <c r="R83" s="247"/>
      <c r="S83" s="247"/>
      <c r="T83" s="247"/>
      <c r="U83" s="247"/>
      <c r="V83" s="247"/>
      <c r="W83" s="247"/>
      <c r="X83" s="247"/>
      <c r="Y83" s="247"/>
      <c r="Z83" s="247"/>
      <c r="AA83" s="247"/>
      <c r="AB83" s="247"/>
      <c r="AC83" s="247"/>
      <c r="AD83" s="247"/>
    </row>
    <row r="84">
      <c r="A84" s="190"/>
      <c r="B84" s="190"/>
      <c r="C84" s="189"/>
      <c r="D84" s="189"/>
      <c r="E84" s="190"/>
      <c r="F84" s="279"/>
      <c r="G84" s="285"/>
      <c r="H84" s="252"/>
      <c r="I84" s="253"/>
      <c r="J84" s="276"/>
      <c r="K84" s="276"/>
      <c r="L84" s="276"/>
      <c r="M84" s="276"/>
      <c r="N84" s="276"/>
      <c r="O84" s="276"/>
      <c r="P84" s="276"/>
      <c r="Q84" s="276"/>
      <c r="R84" s="276"/>
      <c r="S84" s="276"/>
      <c r="T84" s="276"/>
      <c r="U84" s="276"/>
      <c r="V84" s="276"/>
      <c r="W84" s="276"/>
      <c r="X84" s="276"/>
      <c r="Y84" s="276"/>
      <c r="Z84" s="276"/>
      <c r="AA84" s="276"/>
      <c r="AB84" s="276"/>
      <c r="AC84" s="276"/>
      <c r="AD84" s="276"/>
    </row>
    <row r="85">
      <c r="A85" s="190"/>
      <c r="B85" s="190"/>
      <c r="C85" s="189" t="s">
        <v>47</v>
      </c>
      <c r="D85" s="189" t="s">
        <v>46</v>
      </c>
      <c r="E85" s="190"/>
      <c r="F85" s="279" t="s">
        <v>48</v>
      </c>
      <c r="G85" s="285">
        <f>G86</f>
        <v>10000</v>
      </c>
      <c r="H85" s="252">
        <f>G85/$G$83</f>
        <v>0.2</v>
      </c>
      <c r="I85" s="253"/>
      <c r="J85" s="276"/>
      <c r="K85" s="276"/>
      <c r="L85" s="276"/>
      <c r="M85" s="276"/>
      <c r="N85" s="276"/>
      <c r="O85" s="276"/>
      <c r="P85" s="276"/>
      <c r="Q85" s="276"/>
      <c r="R85" s="276"/>
      <c r="S85" s="276"/>
      <c r="T85" s="276"/>
      <c r="U85" s="276"/>
      <c r="V85" s="276"/>
      <c r="W85" s="276"/>
      <c r="X85" s="276"/>
      <c r="Y85" s="276"/>
      <c r="Z85" s="276"/>
      <c r="AA85" s="276"/>
      <c r="AB85" s="276"/>
      <c r="AC85" s="276"/>
      <c r="AD85" s="276"/>
    </row>
    <row r="86">
      <c r="A86" s="190"/>
      <c r="B86" s="190"/>
      <c r="C86" s="190"/>
      <c r="D86" s="190"/>
      <c r="E86" s="189" t="s">
        <v>117</v>
      </c>
      <c r="F86" s="299" t="s">
        <v>118</v>
      </c>
      <c r="G86" s="251">
        <v>10000.0</v>
      </c>
      <c r="H86" s="300">
        <f>G86/$G$85</f>
        <v>1</v>
      </c>
      <c r="I86" s="301" t="s">
        <v>119</v>
      </c>
      <c r="J86" s="302"/>
      <c r="K86" s="276"/>
      <c r="L86" s="276"/>
      <c r="M86" s="276"/>
      <c r="N86" s="276"/>
      <c r="O86" s="276"/>
      <c r="P86" s="276"/>
      <c r="Q86" s="276"/>
      <c r="R86" s="276"/>
      <c r="S86" s="276"/>
      <c r="T86" s="276"/>
      <c r="U86" s="276"/>
      <c r="V86" s="276"/>
      <c r="W86" s="276"/>
      <c r="X86" s="276"/>
      <c r="Y86" s="276"/>
      <c r="Z86" s="276"/>
      <c r="AA86" s="276"/>
      <c r="AB86" s="276"/>
      <c r="AC86" s="276"/>
      <c r="AD86" s="276"/>
    </row>
    <row r="87">
      <c r="A87" s="190"/>
      <c r="B87" s="190"/>
      <c r="C87" s="189" t="s">
        <v>47</v>
      </c>
      <c r="D87" s="189" t="s">
        <v>49</v>
      </c>
      <c r="E87" s="190"/>
      <c r="F87" s="279" t="s">
        <v>85</v>
      </c>
      <c r="G87" s="285">
        <f>G88</f>
        <v>40000</v>
      </c>
      <c r="H87" s="252">
        <f>G87/$G$83</f>
        <v>0.8</v>
      </c>
      <c r="I87" s="274"/>
      <c r="J87" s="276"/>
      <c r="K87" s="276"/>
      <c r="L87" s="276"/>
      <c r="M87" s="276"/>
      <c r="N87" s="276"/>
      <c r="O87" s="276"/>
      <c r="P87" s="276"/>
      <c r="Q87" s="276"/>
      <c r="R87" s="276"/>
      <c r="S87" s="276"/>
      <c r="T87" s="276"/>
      <c r="U87" s="276"/>
      <c r="V87" s="276"/>
      <c r="W87" s="276"/>
      <c r="X87" s="276"/>
      <c r="Y87" s="276"/>
      <c r="Z87" s="276"/>
      <c r="AA87" s="276"/>
      <c r="AB87" s="276"/>
      <c r="AC87" s="276"/>
      <c r="AD87" s="276"/>
    </row>
    <row r="88">
      <c r="A88" s="190"/>
      <c r="B88" s="190"/>
      <c r="C88" s="189"/>
      <c r="D88" s="189"/>
      <c r="E88" s="189" t="s">
        <v>117</v>
      </c>
      <c r="F88" s="299" t="s">
        <v>118</v>
      </c>
      <c r="G88" s="251">
        <v>40000.0</v>
      </c>
      <c r="H88" s="300">
        <f>G88/$G$87</f>
        <v>1</v>
      </c>
      <c r="I88" s="301" t="s">
        <v>119</v>
      </c>
      <c r="J88" s="302"/>
      <c r="K88" s="276"/>
      <c r="L88" s="276"/>
      <c r="M88" s="276"/>
      <c r="N88" s="276"/>
      <c r="O88" s="276"/>
      <c r="P88" s="276"/>
      <c r="Q88" s="276"/>
      <c r="R88" s="276"/>
      <c r="S88" s="276"/>
      <c r="T88" s="276"/>
      <c r="U88" s="276"/>
      <c r="V88" s="276"/>
      <c r="W88" s="276"/>
      <c r="X88" s="276"/>
      <c r="Y88" s="276"/>
      <c r="Z88" s="276"/>
      <c r="AA88" s="276"/>
      <c r="AB88" s="276"/>
      <c r="AC88" s="276"/>
      <c r="AD88" s="276"/>
    </row>
    <row r="89">
      <c r="A89" s="190"/>
      <c r="B89" s="190"/>
      <c r="C89" s="189" t="s">
        <v>59</v>
      </c>
      <c r="D89" s="189" t="s">
        <v>59</v>
      </c>
      <c r="E89" s="190"/>
      <c r="F89" s="279" t="s">
        <v>60</v>
      </c>
      <c r="G89" s="272">
        <v>0.0</v>
      </c>
      <c r="H89" s="252">
        <f>G89/$G$83</f>
        <v>0</v>
      </c>
      <c r="I89" s="274"/>
      <c r="J89" s="276"/>
      <c r="K89" s="276"/>
      <c r="L89" s="276"/>
      <c r="M89" s="276"/>
      <c r="N89" s="276"/>
      <c r="O89" s="276"/>
      <c r="P89" s="276"/>
      <c r="Q89" s="276"/>
      <c r="R89" s="276"/>
      <c r="S89" s="276"/>
      <c r="T89" s="276"/>
      <c r="U89" s="276"/>
      <c r="V89" s="276"/>
      <c r="W89" s="276"/>
      <c r="X89" s="276"/>
      <c r="Y89" s="276"/>
      <c r="Z89" s="276"/>
      <c r="AA89" s="276"/>
      <c r="AB89" s="276"/>
      <c r="AC89" s="276"/>
      <c r="AD89" s="276"/>
    </row>
    <row r="90">
      <c r="A90" s="225"/>
      <c r="B90" s="223"/>
      <c r="C90" s="223"/>
      <c r="D90" s="223"/>
      <c r="E90" s="223"/>
      <c r="F90" s="229"/>
      <c r="G90" s="284"/>
      <c r="H90" s="303"/>
      <c r="I90" s="232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/>
      <c r="AB90" s="233"/>
      <c r="AC90" s="233"/>
      <c r="AD90" s="233"/>
    </row>
    <row r="91">
      <c r="A91" s="241"/>
      <c r="B91" s="242" t="s">
        <v>59</v>
      </c>
      <c r="C91" s="242" t="s">
        <v>47</v>
      </c>
      <c r="D91" s="242" t="s">
        <v>47</v>
      </c>
      <c r="E91" s="241"/>
      <c r="F91" s="243" t="s">
        <v>25</v>
      </c>
      <c r="G91" s="277">
        <v>0.0</v>
      </c>
      <c r="H91" s="245">
        <f>G91/$G$9</f>
        <v>0</v>
      </c>
      <c r="I91" s="278"/>
      <c r="J91" s="247"/>
      <c r="K91" s="247"/>
      <c r="L91" s="247"/>
      <c r="M91" s="247"/>
      <c r="N91" s="247"/>
      <c r="O91" s="247"/>
      <c r="P91" s="247"/>
      <c r="Q91" s="247"/>
      <c r="R91" s="247"/>
      <c r="S91" s="247"/>
      <c r="T91" s="247"/>
      <c r="U91" s="247"/>
      <c r="V91" s="247"/>
      <c r="W91" s="247"/>
      <c r="X91" s="247"/>
      <c r="Y91" s="247"/>
      <c r="Z91" s="247"/>
      <c r="AA91" s="247"/>
      <c r="AB91" s="247"/>
      <c r="AC91" s="247"/>
      <c r="AD91" s="247"/>
    </row>
    <row r="92">
      <c r="A92" s="190"/>
      <c r="B92" s="190"/>
      <c r="C92" s="189"/>
      <c r="D92" s="189"/>
      <c r="E92" s="190"/>
      <c r="F92" s="279"/>
      <c r="G92" s="285"/>
      <c r="H92" s="252"/>
      <c r="I92" s="253"/>
      <c r="J92" s="276"/>
      <c r="K92" s="276"/>
      <c r="L92" s="276"/>
      <c r="M92" s="276"/>
      <c r="N92" s="276"/>
      <c r="O92" s="276"/>
      <c r="P92" s="276"/>
      <c r="Q92" s="276"/>
      <c r="R92" s="276"/>
      <c r="S92" s="276"/>
      <c r="T92" s="276"/>
      <c r="U92" s="276"/>
      <c r="V92" s="276"/>
      <c r="W92" s="276"/>
      <c r="X92" s="276"/>
      <c r="Y92" s="276"/>
      <c r="Z92" s="276"/>
      <c r="AA92" s="276"/>
      <c r="AB92" s="276"/>
      <c r="AC92" s="276"/>
      <c r="AD92" s="276"/>
    </row>
    <row r="93">
      <c r="A93" s="190"/>
      <c r="B93" s="190"/>
      <c r="C93" s="189" t="s">
        <v>47</v>
      </c>
      <c r="D93" s="189" t="s">
        <v>46</v>
      </c>
      <c r="E93" s="190"/>
      <c r="F93" s="279" t="s">
        <v>48</v>
      </c>
      <c r="G93" s="272">
        <v>0.0</v>
      </c>
      <c r="H93" s="286">
        <v>0.0</v>
      </c>
      <c r="I93" s="253"/>
      <c r="J93" s="276"/>
      <c r="K93" s="276"/>
      <c r="L93" s="276"/>
      <c r="M93" s="276"/>
      <c r="N93" s="276"/>
      <c r="O93" s="276"/>
      <c r="P93" s="276"/>
      <c r="Q93" s="276"/>
      <c r="R93" s="276"/>
      <c r="S93" s="276"/>
      <c r="T93" s="276"/>
      <c r="U93" s="276"/>
      <c r="V93" s="276"/>
      <c r="W93" s="276"/>
      <c r="X93" s="276"/>
      <c r="Y93" s="276"/>
      <c r="Z93" s="276"/>
      <c r="AA93" s="276"/>
      <c r="AB93" s="276"/>
      <c r="AC93" s="276"/>
      <c r="AD93" s="276"/>
    </row>
    <row r="94">
      <c r="A94" s="190"/>
      <c r="B94" s="190"/>
      <c r="C94" s="189"/>
      <c r="D94" s="192"/>
      <c r="E94" s="189"/>
      <c r="F94" s="279"/>
      <c r="G94" s="285"/>
      <c r="H94" s="300"/>
      <c r="I94" s="304"/>
      <c r="J94" s="276"/>
      <c r="K94" s="276"/>
      <c r="L94" s="276"/>
      <c r="M94" s="276"/>
      <c r="N94" s="276"/>
      <c r="O94" s="276"/>
      <c r="P94" s="276"/>
      <c r="Q94" s="276"/>
      <c r="R94" s="276"/>
      <c r="S94" s="276"/>
      <c r="T94" s="276"/>
      <c r="U94" s="276"/>
      <c r="V94" s="276"/>
      <c r="W94" s="276"/>
      <c r="X94" s="276"/>
      <c r="Y94" s="276"/>
      <c r="Z94" s="276"/>
      <c r="AA94" s="276"/>
      <c r="AB94" s="276"/>
      <c r="AC94" s="276"/>
      <c r="AD94" s="276"/>
    </row>
    <row r="95">
      <c r="A95" s="190"/>
      <c r="B95" s="190"/>
      <c r="C95" s="189" t="s">
        <v>46</v>
      </c>
      <c r="D95" s="189" t="s">
        <v>47</v>
      </c>
      <c r="E95" s="190"/>
      <c r="F95" s="279" t="s">
        <v>86</v>
      </c>
      <c r="G95" s="272">
        <v>0.0</v>
      </c>
      <c r="H95" s="286">
        <v>0.0</v>
      </c>
      <c r="I95" s="253"/>
      <c r="J95" s="276"/>
      <c r="K95" s="276"/>
      <c r="L95" s="276"/>
      <c r="M95" s="276"/>
      <c r="N95" s="276"/>
      <c r="O95" s="276"/>
      <c r="P95" s="276"/>
      <c r="Q95" s="276"/>
      <c r="R95" s="276"/>
      <c r="S95" s="276"/>
      <c r="T95" s="276"/>
      <c r="U95" s="276"/>
      <c r="V95" s="276"/>
      <c r="W95" s="276"/>
      <c r="X95" s="276"/>
      <c r="Y95" s="276"/>
      <c r="Z95" s="276"/>
      <c r="AA95" s="276"/>
      <c r="AB95" s="276"/>
      <c r="AC95" s="276"/>
      <c r="AD95" s="276"/>
    </row>
    <row r="96">
      <c r="A96" s="190"/>
      <c r="B96" s="190"/>
      <c r="C96" s="190"/>
      <c r="D96" s="189" t="s">
        <v>46</v>
      </c>
      <c r="E96" s="190"/>
      <c r="F96" s="305" t="s">
        <v>87</v>
      </c>
      <c r="G96" s="272">
        <v>0.0</v>
      </c>
      <c r="H96" s="286">
        <v>0.0</v>
      </c>
      <c r="I96" s="306"/>
      <c r="J96" s="307"/>
      <c r="K96" s="276"/>
      <c r="L96" s="276"/>
      <c r="M96" s="276"/>
      <c r="N96" s="276"/>
      <c r="O96" s="276"/>
      <c r="P96" s="276"/>
      <c r="Q96" s="276"/>
      <c r="R96" s="276"/>
      <c r="S96" s="276"/>
      <c r="T96" s="276"/>
      <c r="U96" s="276"/>
      <c r="V96" s="276"/>
      <c r="W96" s="276"/>
      <c r="X96" s="276"/>
      <c r="Y96" s="276"/>
      <c r="Z96" s="276"/>
      <c r="AA96" s="276"/>
      <c r="AB96" s="276"/>
      <c r="AC96" s="276"/>
      <c r="AD96" s="276"/>
    </row>
    <row r="97">
      <c r="A97" s="190"/>
      <c r="B97" s="190"/>
      <c r="C97" s="190"/>
      <c r="D97" s="190"/>
      <c r="E97" s="190"/>
      <c r="F97" s="279"/>
      <c r="G97" s="291"/>
      <c r="H97" s="280"/>
      <c r="I97" s="253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</row>
    <row r="98">
      <c r="A98" s="190"/>
      <c r="B98" s="190"/>
      <c r="C98" s="189" t="s">
        <v>49</v>
      </c>
      <c r="D98" s="192" t="s">
        <v>47</v>
      </c>
      <c r="E98" s="190"/>
      <c r="F98" s="279" t="s">
        <v>88</v>
      </c>
      <c r="G98" s="272">
        <v>0.0</v>
      </c>
      <c r="H98" s="286">
        <v>0.0</v>
      </c>
      <c r="I98" s="253"/>
      <c r="J98" s="276"/>
      <c r="K98" s="276"/>
      <c r="L98" s="276"/>
      <c r="M98" s="276"/>
      <c r="N98" s="276"/>
      <c r="O98" s="276"/>
      <c r="P98" s="276"/>
      <c r="Q98" s="276"/>
      <c r="R98" s="276"/>
      <c r="S98" s="276"/>
      <c r="T98" s="276"/>
      <c r="U98" s="276"/>
      <c r="V98" s="276"/>
      <c r="W98" s="276"/>
      <c r="X98" s="276"/>
      <c r="Y98" s="276"/>
      <c r="Z98" s="276"/>
      <c r="AA98" s="276"/>
      <c r="AB98" s="276"/>
      <c r="AC98" s="276"/>
      <c r="AD98" s="276"/>
    </row>
    <row r="99">
      <c r="A99" s="190"/>
      <c r="B99" s="190"/>
      <c r="C99" s="190"/>
      <c r="D99" s="192" t="s">
        <v>46</v>
      </c>
      <c r="E99" s="190"/>
      <c r="F99" s="296" t="s">
        <v>89</v>
      </c>
      <c r="G99" s="272">
        <v>0.0</v>
      </c>
      <c r="H99" s="286">
        <v>0.0</v>
      </c>
      <c r="I99" s="253"/>
      <c r="J99" s="276"/>
      <c r="K99" s="276"/>
      <c r="L99" s="276"/>
      <c r="M99" s="276"/>
      <c r="N99" s="276"/>
      <c r="O99" s="276"/>
      <c r="P99" s="276"/>
      <c r="Q99" s="276"/>
      <c r="R99" s="276"/>
      <c r="S99" s="276"/>
      <c r="T99" s="276"/>
      <c r="U99" s="276"/>
      <c r="V99" s="276"/>
      <c r="W99" s="276"/>
      <c r="X99" s="276"/>
      <c r="Y99" s="276"/>
      <c r="Z99" s="276"/>
      <c r="AA99" s="276"/>
      <c r="AB99" s="276"/>
      <c r="AC99" s="276"/>
      <c r="AD99" s="276"/>
    </row>
    <row r="100">
      <c r="A100" s="190"/>
      <c r="B100" s="190"/>
      <c r="C100" s="190"/>
      <c r="D100" s="192" t="s">
        <v>49</v>
      </c>
      <c r="E100" s="190"/>
      <c r="F100" s="296" t="s">
        <v>90</v>
      </c>
      <c r="G100" s="272">
        <v>0.0</v>
      </c>
      <c r="H100" s="286">
        <v>0.0</v>
      </c>
      <c r="I100" s="253"/>
      <c r="J100" s="276"/>
      <c r="K100" s="276"/>
      <c r="L100" s="276"/>
      <c r="M100" s="276"/>
      <c r="N100" s="276"/>
      <c r="O100" s="276"/>
      <c r="P100" s="276"/>
      <c r="Q100" s="276"/>
      <c r="R100" s="276"/>
      <c r="S100" s="276"/>
      <c r="T100" s="276"/>
      <c r="U100" s="276"/>
      <c r="V100" s="276"/>
      <c r="W100" s="276"/>
      <c r="X100" s="276"/>
      <c r="Y100" s="276"/>
      <c r="Z100" s="276"/>
      <c r="AA100" s="276"/>
      <c r="AB100" s="276"/>
      <c r="AC100" s="276"/>
      <c r="AD100" s="276"/>
    </row>
    <row r="101">
      <c r="A101" s="190"/>
      <c r="B101" s="190"/>
      <c r="C101" s="190"/>
      <c r="D101" s="195" t="s">
        <v>51</v>
      </c>
      <c r="E101" s="190"/>
      <c r="F101" s="296" t="s">
        <v>91</v>
      </c>
      <c r="G101" s="272">
        <v>0.0</v>
      </c>
      <c r="H101" s="286">
        <v>0.0</v>
      </c>
      <c r="I101" s="253"/>
      <c r="J101" s="276"/>
      <c r="K101" s="276"/>
      <c r="L101" s="276"/>
      <c r="M101" s="276"/>
      <c r="N101" s="276"/>
      <c r="O101" s="276"/>
      <c r="P101" s="276"/>
      <c r="Q101" s="276"/>
      <c r="R101" s="276"/>
      <c r="S101" s="276"/>
      <c r="T101" s="276"/>
      <c r="U101" s="276"/>
      <c r="V101" s="276"/>
      <c r="W101" s="276"/>
      <c r="X101" s="276"/>
      <c r="Y101" s="276"/>
      <c r="Z101" s="276"/>
      <c r="AA101" s="276"/>
      <c r="AB101" s="276"/>
      <c r="AC101" s="276"/>
      <c r="AD101" s="276"/>
    </row>
    <row r="102">
      <c r="A102" s="190"/>
      <c r="B102" s="190"/>
      <c r="C102" s="189"/>
      <c r="D102" s="192"/>
      <c r="E102" s="190"/>
      <c r="F102" s="279"/>
      <c r="G102" s="285"/>
      <c r="H102" s="252"/>
      <c r="I102" s="253"/>
      <c r="J102" s="276"/>
      <c r="K102" s="276"/>
      <c r="L102" s="276"/>
      <c r="M102" s="276"/>
      <c r="N102" s="276"/>
      <c r="O102" s="276"/>
      <c r="P102" s="276"/>
      <c r="Q102" s="276"/>
      <c r="R102" s="276"/>
      <c r="S102" s="276"/>
      <c r="T102" s="276"/>
      <c r="U102" s="276"/>
      <c r="V102" s="276"/>
      <c r="W102" s="276"/>
      <c r="X102" s="276"/>
      <c r="Y102" s="276"/>
      <c r="Z102" s="276"/>
      <c r="AA102" s="276"/>
      <c r="AB102" s="276"/>
      <c r="AC102" s="276"/>
      <c r="AD102" s="276"/>
    </row>
    <row r="103">
      <c r="A103" s="190"/>
      <c r="B103" s="190"/>
      <c r="C103" s="189" t="s">
        <v>59</v>
      </c>
      <c r="D103" s="189" t="s">
        <v>59</v>
      </c>
      <c r="E103" s="190"/>
      <c r="F103" s="279" t="s">
        <v>60</v>
      </c>
      <c r="G103" s="272">
        <v>0.0</v>
      </c>
      <c r="H103" s="286">
        <v>0.0</v>
      </c>
      <c r="I103" s="274"/>
      <c r="J103" s="276"/>
      <c r="K103" s="276"/>
      <c r="L103" s="276"/>
      <c r="M103" s="276"/>
      <c r="N103" s="276"/>
      <c r="O103" s="276"/>
      <c r="P103" s="276"/>
      <c r="Q103" s="276"/>
      <c r="R103" s="276"/>
      <c r="S103" s="276"/>
      <c r="T103" s="276"/>
      <c r="U103" s="276"/>
      <c r="V103" s="276"/>
      <c r="W103" s="276"/>
      <c r="X103" s="276"/>
      <c r="Y103" s="276"/>
      <c r="Z103" s="276"/>
      <c r="AA103" s="276"/>
      <c r="AB103" s="276"/>
      <c r="AC103" s="276"/>
      <c r="AD103" s="276"/>
    </row>
    <row r="104">
      <c r="A104" s="225"/>
      <c r="B104" s="223"/>
      <c r="C104" s="189"/>
      <c r="D104" s="189"/>
      <c r="E104" s="190"/>
      <c r="F104" s="279"/>
      <c r="G104" s="284"/>
      <c r="H104" s="232"/>
      <c r="I104" s="232"/>
      <c r="J104" s="233"/>
      <c r="K104" s="233"/>
      <c r="L104" s="233"/>
      <c r="M104" s="233"/>
      <c r="N104" s="233"/>
      <c r="O104" s="233"/>
      <c r="P104" s="233"/>
      <c r="Q104" s="233"/>
      <c r="R104" s="233"/>
      <c r="S104" s="233"/>
      <c r="T104" s="233"/>
      <c r="U104" s="233"/>
      <c r="V104" s="233"/>
      <c r="W104" s="233"/>
      <c r="X104" s="233"/>
      <c r="Y104" s="233"/>
      <c r="Z104" s="233"/>
      <c r="AA104" s="233"/>
      <c r="AB104" s="233"/>
      <c r="AC104" s="233"/>
      <c r="AD104" s="233"/>
    </row>
    <row r="105">
      <c r="A105" s="241"/>
      <c r="B105" s="242" t="s">
        <v>26</v>
      </c>
      <c r="C105" s="242" t="s">
        <v>47</v>
      </c>
      <c r="D105" s="242" t="s">
        <v>47</v>
      </c>
      <c r="E105" s="241"/>
      <c r="F105" s="243" t="s">
        <v>27</v>
      </c>
      <c r="G105" s="277">
        <v>0.0</v>
      </c>
      <c r="H105" s="245">
        <f>G105/$G$9</f>
        <v>0</v>
      </c>
      <c r="I105" s="278"/>
      <c r="J105" s="247"/>
      <c r="K105" s="247"/>
      <c r="L105" s="247"/>
      <c r="M105" s="247"/>
      <c r="N105" s="247"/>
      <c r="O105" s="247"/>
      <c r="P105" s="247"/>
      <c r="Q105" s="247"/>
      <c r="R105" s="247"/>
      <c r="S105" s="247"/>
      <c r="T105" s="247"/>
      <c r="U105" s="247"/>
      <c r="V105" s="247"/>
      <c r="W105" s="247"/>
      <c r="X105" s="247"/>
      <c r="Y105" s="247"/>
      <c r="Z105" s="247"/>
      <c r="AA105" s="247"/>
      <c r="AB105" s="247"/>
      <c r="AC105" s="247"/>
      <c r="AD105" s="247"/>
    </row>
    <row r="106">
      <c r="A106" s="190"/>
      <c r="B106" s="190"/>
      <c r="C106" s="189"/>
      <c r="D106" s="189"/>
      <c r="E106" s="190"/>
      <c r="F106" s="279"/>
      <c r="G106" s="285"/>
      <c r="H106" s="252"/>
      <c r="I106" s="308"/>
      <c r="J106" s="283"/>
      <c r="K106" s="283"/>
      <c r="L106" s="283"/>
      <c r="M106" s="283"/>
      <c r="N106" s="283"/>
      <c r="O106" s="283"/>
      <c r="P106" s="283"/>
      <c r="Q106" s="283"/>
      <c r="R106" s="283"/>
      <c r="S106" s="283"/>
      <c r="T106" s="283"/>
      <c r="U106" s="283"/>
      <c r="V106" s="283"/>
      <c r="W106" s="283"/>
      <c r="X106" s="283"/>
      <c r="Y106" s="283"/>
      <c r="Z106" s="283"/>
      <c r="AA106" s="283"/>
      <c r="AB106" s="283"/>
      <c r="AC106" s="283"/>
      <c r="AD106" s="283"/>
    </row>
    <row r="107">
      <c r="A107" s="190"/>
      <c r="B107" s="190"/>
      <c r="C107" s="189" t="s">
        <v>47</v>
      </c>
      <c r="D107" s="189" t="s">
        <v>46</v>
      </c>
      <c r="E107" s="190"/>
      <c r="F107" s="279" t="s">
        <v>48</v>
      </c>
      <c r="G107" s="272">
        <v>0.0</v>
      </c>
      <c r="H107" s="286">
        <v>0.0</v>
      </c>
      <c r="I107" s="308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  <c r="AA107" s="283"/>
      <c r="AB107" s="283"/>
      <c r="AC107" s="283"/>
      <c r="AD107" s="283"/>
    </row>
    <row r="108">
      <c r="A108" s="190"/>
      <c r="B108" s="190"/>
      <c r="C108" s="189" t="s">
        <v>47</v>
      </c>
      <c r="D108" s="189" t="s">
        <v>49</v>
      </c>
      <c r="E108" s="190"/>
      <c r="F108" s="296" t="s">
        <v>92</v>
      </c>
      <c r="G108" s="272">
        <v>0.0</v>
      </c>
      <c r="H108" s="286">
        <v>0.0</v>
      </c>
      <c r="I108" s="308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  <c r="Z108" s="283"/>
      <c r="AA108" s="283"/>
      <c r="AB108" s="283"/>
      <c r="AC108" s="283"/>
      <c r="AD108" s="283"/>
    </row>
    <row r="109">
      <c r="A109" s="190"/>
      <c r="B109" s="190"/>
      <c r="C109" s="189" t="s">
        <v>47</v>
      </c>
      <c r="D109" s="189" t="s">
        <v>51</v>
      </c>
      <c r="E109" s="190"/>
      <c r="F109" s="296" t="s">
        <v>93</v>
      </c>
      <c r="G109" s="272">
        <v>0.0</v>
      </c>
      <c r="H109" s="286">
        <v>0.0</v>
      </c>
      <c r="I109" s="308"/>
      <c r="J109" s="283"/>
      <c r="K109" s="283"/>
      <c r="L109" s="283"/>
      <c r="M109" s="283"/>
      <c r="N109" s="283"/>
      <c r="O109" s="283"/>
      <c r="P109" s="283"/>
      <c r="Q109" s="283"/>
      <c r="R109" s="283"/>
      <c r="S109" s="283"/>
      <c r="T109" s="283"/>
      <c r="U109" s="283"/>
      <c r="V109" s="283"/>
      <c r="W109" s="283"/>
      <c r="X109" s="283"/>
      <c r="Y109" s="283"/>
      <c r="Z109" s="283"/>
      <c r="AA109" s="283"/>
      <c r="AB109" s="283"/>
      <c r="AC109" s="283"/>
      <c r="AD109" s="283"/>
    </row>
    <row r="110">
      <c r="A110" s="190"/>
      <c r="B110" s="190"/>
      <c r="C110" s="189" t="s">
        <v>47</v>
      </c>
      <c r="D110" s="189" t="s">
        <v>53</v>
      </c>
      <c r="E110" s="190"/>
      <c r="F110" s="296" t="s">
        <v>94</v>
      </c>
      <c r="G110" s="272">
        <v>0.0</v>
      </c>
      <c r="H110" s="286">
        <v>0.0</v>
      </c>
      <c r="I110" s="308"/>
      <c r="J110" s="283"/>
      <c r="K110" s="283"/>
      <c r="L110" s="283"/>
      <c r="M110" s="283"/>
      <c r="N110" s="283"/>
      <c r="O110" s="283"/>
      <c r="P110" s="283"/>
      <c r="Q110" s="283"/>
      <c r="R110" s="283"/>
      <c r="S110" s="283"/>
      <c r="T110" s="283"/>
      <c r="U110" s="283"/>
      <c r="V110" s="283"/>
      <c r="W110" s="283"/>
      <c r="X110" s="283"/>
      <c r="Y110" s="283"/>
      <c r="Z110" s="283"/>
      <c r="AA110" s="283"/>
      <c r="AB110" s="283"/>
      <c r="AC110" s="283"/>
      <c r="AD110" s="283"/>
    </row>
    <row r="111">
      <c r="A111" s="190"/>
      <c r="B111" s="190"/>
      <c r="C111" s="189" t="s">
        <v>47</v>
      </c>
      <c r="D111" s="189" t="s">
        <v>55</v>
      </c>
      <c r="E111" s="190"/>
      <c r="F111" s="296" t="s">
        <v>95</v>
      </c>
      <c r="G111" s="272">
        <v>0.0</v>
      </c>
      <c r="H111" s="286">
        <v>0.0</v>
      </c>
      <c r="I111" s="279"/>
      <c r="J111" s="283"/>
      <c r="K111" s="283"/>
      <c r="L111" s="283"/>
      <c r="M111" s="283"/>
      <c r="N111" s="283"/>
      <c r="O111" s="283"/>
      <c r="P111" s="283"/>
      <c r="Q111" s="283"/>
      <c r="R111" s="283"/>
      <c r="S111" s="283"/>
      <c r="T111" s="283"/>
      <c r="U111" s="283"/>
      <c r="V111" s="283"/>
      <c r="W111" s="283"/>
      <c r="X111" s="283"/>
      <c r="Y111" s="283"/>
      <c r="Z111" s="283"/>
      <c r="AA111" s="283"/>
      <c r="AB111" s="283"/>
      <c r="AC111" s="283"/>
      <c r="AD111" s="283"/>
    </row>
    <row r="112">
      <c r="A112" s="190"/>
      <c r="B112" s="190"/>
      <c r="C112" s="189" t="s">
        <v>47</v>
      </c>
      <c r="D112" s="197" t="s">
        <v>57</v>
      </c>
      <c r="E112" s="190"/>
      <c r="F112" s="296" t="s">
        <v>96</v>
      </c>
      <c r="G112" s="272">
        <v>0.0</v>
      </c>
      <c r="H112" s="286">
        <v>0.0</v>
      </c>
      <c r="I112" s="279"/>
      <c r="J112" s="283"/>
      <c r="K112" s="283"/>
      <c r="L112" s="283"/>
      <c r="M112" s="283"/>
      <c r="N112" s="283"/>
      <c r="O112" s="283"/>
      <c r="P112" s="283"/>
      <c r="Q112" s="283"/>
      <c r="R112" s="283"/>
      <c r="S112" s="283"/>
      <c r="T112" s="283"/>
      <c r="U112" s="283"/>
      <c r="V112" s="283"/>
      <c r="W112" s="283"/>
      <c r="X112" s="283"/>
      <c r="Y112" s="283"/>
      <c r="Z112" s="283"/>
      <c r="AA112" s="283"/>
      <c r="AB112" s="283"/>
      <c r="AC112" s="283"/>
      <c r="AD112" s="283"/>
    </row>
    <row r="113">
      <c r="A113" s="190"/>
      <c r="B113" s="190"/>
      <c r="C113" s="189" t="s">
        <v>47</v>
      </c>
      <c r="D113" s="197" t="s">
        <v>83</v>
      </c>
      <c r="E113" s="190"/>
      <c r="F113" s="296" t="s">
        <v>97</v>
      </c>
      <c r="G113" s="272">
        <v>0.0</v>
      </c>
      <c r="H113" s="286">
        <v>0.0</v>
      </c>
      <c r="I113" s="279"/>
      <c r="J113" s="283"/>
      <c r="K113" s="283"/>
      <c r="L113" s="283"/>
      <c r="M113" s="283"/>
      <c r="N113" s="283"/>
      <c r="O113" s="283"/>
      <c r="P113" s="283"/>
      <c r="Q113" s="283"/>
      <c r="R113" s="283"/>
      <c r="S113" s="283"/>
      <c r="T113" s="283"/>
      <c r="U113" s="283"/>
      <c r="V113" s="283"/>
      <c r="W113" s="283"/>
      <c r="X113" s="283"/>
      <c r="Y113" s="283"/>
      <c r="Z113" s="283"/>
      <c r="AA113" s="283"/>
      <c r="AB113" s="283"/>
      <c r="AC113" s="283"/>
      <c r="AD113" s="283"/>
    </row>
    <row r="114">
      <c r="A114" s="190"/>
      <c r="B114" s="190"/>
      <c r="C114" s="189" t="s">
        <v>59</v>
      </c>
      <c r="D114" s="189" t="s">
        <v>59</v>
      </c>
      <c r="E114" s="190"/>
      <c r="F114" s="279" t="s">
        <v>60</v>
      </c>
      <c r="G114" s="272">
        <v>0.0</v>
      </c>
      <c r="H114" s="286">
        <v>0.0</v>
      </c>
      <c r="I114" s="279"/>
      <c r="J114" s="283"/>
      <c r="K114" s="283"/>
      <c r="L114" s="283"/>
      <c r="M114" s="283"/>
      <c r="N114" s="283"/>
      <c r="O114" s="283"/>
      <c r="P114" s="283"/>
      <c r="Q114" s="283"/>
      <c r="R114" s="283"/>
      <c r="S114" s="283"/>
      <c r="T114" s="283"/>
      <c r="U114" s="283"/>
      <c r="V114" s="283"/>
      <c r="W114" s="283"/>
      <c r="X114" s="283"/>
      <c r="Y114" s="283"/>
      <c r="Z114" s="283"/>
      <c r="AA114" s="283"/>
      <c r="AB114" s="283"/>
      <c r="AC114" s="283"/>
      <c r="AD114" s="283"/>
    </row>
    <row r="115">
      <c r="A115" s="223"/>
      <c r="B115" s="223"/>
      <c r="C115" s="189"/>
      <c r="D115" s="189"/>
      <c r="E115" s="190"/>
      <c r="F115" s="279"/>
      <c r="G115" s="284"/>
      <c r="H115" s="257"/>
      <c r="I115" s="229"/>
      <c r="J115" s="269"/>
      <c r="K115" s="269"/>
      <c r="L115" s="269"/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69"/>
      <c r="X115" s="269"/>
      <c r="Y115" s="269"/>
      <c r="Z115" s="269"/>
      <c r="AA115" s="269"/>
      <c r="AB115" s="269"/>
      <c r="AC115" s="269"/>
      <c r="AD115" s="269"/>
    </row>
    <row r="116">
      <c r="A116" s="242" t="s">
        <v>49</v>
      </c>
      <c r="B116" s="242" t="s">
        <v>47</v>
      </c>
      <c r="C116" s="242" t="s">
        <v>47</v>
      </c>
      <c r="D116" s="242" t="s">
        <v>47</v>
      </c>
      <c r="E116" s="241"/>
      <c r="F116" s="243" t="s">
        <v>28</v>
      </c>
      <c r="G116" s="277">
        <v>0.0</v>
      </c>
      <c r="H116" s="245">
        <f>G116/$G$7</f>
        <v>0</v>
      </c>
      <c r="I116" s="278"/>
      <c r="J116" s="295"/>
      <c r="K116" s="295"/>
      <c r="L116" s="295"/>
      <c r="M116" s="295"/>
      <c r="N116" s="295"/>
      <c r="O116" s="295"/>
      <c r="P116" s="295"/>
      <c r="Q116" s="295"/>
      <c r="R116" s="295"/>
      <c r="S116" s="295"/>
      <c r="T116" s="295"/>
      <c r="U116" s="295"/>
      <c r="V116" s="295"/>
      <c r="W116" s="295"/>
      <c r="X116" s="295"/>
      <c r="Y116" s="295"/>
      <c r="Z116" s="295"/>
      <c r="AA116" s="295"/>
      <c r="AB116" s="295"/>
      <c r="AC116" s="295"/>
      <c r="AD116" s="295"/>
    </row>
    <row r="117">
      <c r="A117" s="190"/>
      <c r="B117" s="309"/>
      <c r="C117" s="309"/>
      <c r="D117" s="309"/>
      <c r="E117" s="190"/>
      <c r="F117" s="310"/>
      <c r="G117" s="311"/>
      <c r="H117" s="312"/>
      <c r="I117" s="308"/>
      <c r="J117" s="283"/>
      <c r="K117" s="283"/>
      <c r="L117" s="283"/>
      <c r="M117" s="283"/>
      <c r="N117" s="283"/>
      <c r="O117" s="283"/>
      <c r="P117" s="283"/>
      <c r="Q117" s="283"/>
      <c r="R117" s="283"/>
      <c r="S117" s="283"/>
      <c r="T117" s="283"/>
      <c r="U117" s="283"/>
      <c r="V117" s="283"/>
      <c r="W117" s="283"/>
      <c r="X117" s="283"/>
      <c r="Y117" s="283"/>
      <c r="Z117" s="283"/>
      <c r="AA117" s="283"/>
      <c r="AB117" s="283"/>
      <c r="AC117" s="283"/>
      <c r="AD117" s="283"/>
    </row>
    <row r="118">
      <c r="A118" s="241"/>
      <c r="B118" s="242" t="s">
        <v>46</v>
      </c>
      <c r="C118" s="242" t="s">
        <v>47</v>
      </c>
      <c r="D118" s="242" t="s">
        <v>47</v>
      </c>
      <c r="E118" s="241"/>
      <c r="F118" s="243" t="s">
        <v>29</v>
      </c>
      <c r="G118" s="277">
        <v>0.0</v>
      </c>
      <c r="H118" s="294">
        <v>0.0</v>
      </c>
      <c r="I118" s="278"/>
      <c r="J118" s="247"/>
      <c r="K118" s="247"/>
      <c r="L118" s="247"/>
      <c r="M118" s="247"/>
      <c r="N118" s="247"/>
      <c r="O118" s="247"/>
      <c r="P118" s="247"/>
      <c r="Q118" s="247"/>
      <c r="R118" s="247"/>
      <c r="S118" s="247"/>
      <c r="T118" s="247"/>
      <c r="U118" s="247"/>
      <c r="V118" s="247"/>
      <c r="W118" s="247"/>
      <c r="X118" s="247"/>
      <c r="Y118" s="247"/>
      <c r="Z118" s="247"/>
      <c r="AA118" s="247"/>
      <c r="AB118" s="247"/>
      <c r="AC118" s="247"/>
      <c r="AD118" s="247"/>
    </row>
    <row r="119">
      <c r="A119" s="190"/>
      <c r="B119" s="190"/>
      <c r="C119" s="189"/>
      <c r="D119" s="189"/>
      <c r="E119" s="190"/>
      <c r="F119" s="279"/>
      <c r="G119" s="285"/>
      <c r="H119" s="252"/>
      <c r="I119" s="308"/>
      <c r="J119" s="283"/>
      <c r="K119" s="283"/>
      <c r="L119" s="283"/>
      <c r="M119" s="283"/>
      <c r="N119" s="283"/>
      <c r="O119" s="283"/>
      <c r="P119" s="283"/>
      <c r="Q119" s="283"/>
      <c r="R119" s="283"/>
      <c r="S119" s="283"/>
      <c r="T119" s="283"/>
      <c r="U119" s="283"/>
      <c r="V119" s="283"/>
      <c r="W119" s="283"/>
      <c r="X119" s="283"/>
      <c r="Y119" s="283"/>
      <c r="Z119" s="283"/>
      <c r="AA119" s="283"/>
      <c r="AB119" s="283"/>
      <c r="AC119" s="283"/>
      <c r="AD119" s="283"/>
    </row>
    <row r="120">
      <c r="A120" s="190"/>
      <c r="B120" s="190"/>
      <c r="C120" s="189" t="s">
        <v>47</v>
      </c>
      <c r="D120" s="189" t="s">
        <v>46</v>
      </c>
      <c r="E120" s="190"/>
      <c r="F120" s="279" t="s">
        <v>98</v>
      </c>
      <c r="G120" s="272">
        <v>0.0</v>
      </c>
      <c r="H120" s="286">
        <v>0.0</v>
      </c>
      <c r="I120" s="308"/>
      <c r="J120" s="283"/>
      <c r="K120" s="283"/>
      <c r="L120" s="283"/>
      <c r="M120" s="283"/>
      <c r="N120" s="283"/>
      <c r="O120" s="283"/>
      <c r="P120" s="283"/>
      <c r="Q120" s="283"/>
      <c r="R120" s="283"/>
      <c r="S120" s="283"/>
      <c r="T120" s="283"/>
      <c r="U120" s="283"/>
      <c r="V120" s="283"/>
      <c r="W120" s="283"/>
      <c r="X120" s="283"/>
      <c r="Y120" s="283"/>
      <c r="Z120" s="283"/>
      <c r="AA120" s="283"/>
      <c r="AB120" s="283"/>
      <c r="AC120" s="283"/>
      <c r="AD120" s="283"/>
    </row>
    <row r="121">
      <c r="A121" s="190"/>
      <c r="B121" s="190"/>
      <c r="C121" s="189"/>
      <c r="D121" s="189"/>
      <c r="E121" s="190"/>
      <c r="F121" s="274"/>
      <c r="G121" s="285"/>
      <c r="H121" s="252"/>
      <c r="I121" s="253"/>
      <c r="J121" s="276"/>
      <c r="K121" s="276"/>
      <c r="L121" s="276"/>
      <c r="M121" s="276"/>
      <c r="N121" s="276"/>
      <c r="O121" s="276"/>
      <c r="P121" s="276"/>
      <c r="Q121" s="276"/>
      <c r="R121" s="276"/>
      <c r="S121" s="276"/>
      <c r="T121" s="276"/>
      <c r="U121" s="276"/>
      <c r="V121" s="276"/>
      <c r="W121" s="276"/>
      <c r="X121" s="276"/>
      <c r="Y121" s="276"/>
      <c r="Z121" s="276"/>
      <c r="AA121" s="276"/>
      <c r="AB121" s="276"/>
      <c r="AC121" s="276"/>
      <c r="AD121" s="276"/>
    </row>
    <row r="122">
      <c r="A122" s="190"/>
      <c r="B122" s="190"/>
      <c r="C122" s="189" t="s">
        <v>47</v>
      </c>
      <c r="D122" s="189" t="s">
        <v>49</v>
      </c>
      <c r="E122" s="190"/>
      <c r="F122" s="274" t="s">
        <v>99</v>
      </c>
      <c r="G122" s="272">
        <v>0.0</v>
      </c>
      <c r="H122" s="286">
        <v>0.0</v>
      </c>
      <c r="I122" s="253"/>
      <c r="J122" s="276"/>
      <c r="K122" s="276"/>
      <c r="L122" s="276"/>
      <c r="M122" s="276"/>
      <c r="N122" s="276"/>
      <c r="O122" s="276"/>
      <c r="P122" s="276"/>
      <c r="Q122" s="276"/>
      <c r="R122" s="276"/>
      <c r="S122" s="276"/>
      <c r="T122" s="276"/>
      <c r="U122" s="276"/>
      <c r="V122" s="276"/>
      <c r="W122" s="276"/>
      <c r="X122" s="276"/>
      <c r="Y122" s="276"/>
      <c r="Z122" s="276"/>
      <c r="AA122" s="276"/>
      <c r="AB122" s="276"/>
      <c r="AC122" s="276"/>
      <c r="AD122" s="276"/>
    </row>
    <row r="123">
      <c r="A123" s="190"/>
      <c r="B123" s="190"/>
      <c r="C123" s="189"/>
      <c r="D123" s="189"/>
      <c r="E123" s="190"/>
      <c r="F123" s="279"/>
      <c r="G123" s="285"/>
      <c r="H123" s="252"/>
      <c r="I123" s="253"/>
      <c r="J123" s="276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6"/>
      <c r="X123" s="276"/>
      <c r="Y123" s="276"/>
      <c r="Z123" s="276"/>
      <c r="AA123" s="276"/>
      <c r="AB123" s="276"/>
      <c r="AC123" s="276"/>
      <c r="AD123" s="276"/>
    </row>
    <row r="124">
      <c r="A124" s="190"/>
      <c r="B124" s="190"/>
      <c r="C124" s="189" t="s">
        <v>46</v>
      </c>
      <c r="D124" s="189" t="s">
        <v>47</v>
      </c>
      <c r="E124" s="190"/>
      <c r="F124" s="279" t="s">
        <v>18</v>
      </c>
      <c r="G124" s="272">
        <f>G126</f>
        <v>0</v>
      </c>
      <c r="H124" s="286">
        <v>0.0</v>
      </c>
      <c r="I124" s="253"/>
      <c r="J124" s="276"/>
      <c r="K124" s="276"/>
      <c r="L124" s="276"/>
      <c r="M124" s="276"/>
      <c r="N124" s="276"/>
      <c r="O124" s="276"/>
      <c r="P124" s="276"/>
      <c r="Q124" s="276"/>
      <c r="R124" s="276"/>
      <c r="S124" s="276"/>
      <c r="T124" s="276"/>
      <c r="U124" s="276"/>
      <c r="V124" s="276"/>
      <c r="W124" s="276"/>
      <c r="X124" s="276"/>
      <c r="Y124" s="276"/>
      <c r="Z124" s="276"/>
      <c r="AA124" s="276"/>
      <c r="AB124" s="276"/>
      <c r="AC124" s="276"/>
      <c r="AD124" s="276"/>
    </row>
    <row r="125">
      <c r="A125" s="190"/>
      <c r="B125" s="190"/>
      <c r="C125" s="190"/>
      <c r="D125" s="189"/>
      <c r="E125" s="190"/>
      <c r="F125" s="274"/>
      <c r="G125" s="285"/>
      <c r="H125" s="252"/>
      <c r="I125" s="253"/>
      <c r="J125" s="276"/>
      <c r="K125" s="276"/>
      <c r="L125" s="276"/>
      <c r="M125" s="276"/>
      <c r="N125" s="276"/>
      <c r="O125" s="276"/>
      <c r="P125" s="276"/>
      <c r="Q125" s="276"/>
      <c r="R125" s="276"/>
      <c r="S125" s="276"/>
      <c r="T125" s="276"/>
      <c r="U125" s="276"/>
      <c r="V125" s="276"/>
      <c r="W125" s="276"/>
      <c r="X125" s="276"/>
      <c r="Y125" s="276"/>
      <c r="Z125" s="276"/>
      <c r="AA125" s="276"/>
      <c r="AB125" s="276"/>
      <c r="AC125" s="276"/>
      <c r="AD125" s="276"/>
    </row>
    <row r="126">
      <c r="A126" s="190"/>
      <c r="B126" s="190"/>
      <c r="C126" s="190"/>
      <c r="D126" s="189" t="s">
        <v>49</v>
      </c>
      <c r="E126" s="190"/>
      <c r="F126" s="274" t="s">
        <v>120</v>
      </c>
      <c r="G126" s="272">
        <v>0.0</v>
      </c>
      <c r="H126" s="286">
        <v>0.0</v>
      </c>
      <c r="I126" s="253"/>
      <c r="J126" s="276"/>
      <c r="K126" s="276"/>
      <c r="L126" s="276"/>
      <c r="M126" s="276"/>
      <c r="N126" s="276"/>
      <c r="O126" s="276"/>
      <c r="P126" s="276"/>
      <c r="Q126" s="276"/>
      <c r="R126" s="276"/>
      <c r="S126" s="276"/>
      <c r="T126" s="276"/>
      <c r="U126" s="276"/>
      <c r="V126" s="276"/>
      <c r="W126" s="276"/>
      <c r="X126" s="276"/>
      <c r="Y126" s="276"/>
      <c r="Z126" s="276"/>
      <c r="AA126" s="276"/>
      <c r="AB126" s="276"/>
      <c r="AC126" s="276"/>
      <c r="AD126" s="276"/>
    </row>
    <row r="127">
      <c r="A127" s="225"/>
      <c r="B127" s="225"/>
      <c r="C127" s="225"/>
      <c r="D127" s="225"/>
      <c r="E127" s="225"/>
      <c r="F127" s="232"/>
      <c r="G127" s="284"/>
      <c r="H127" s="232"/>
      <c r="I127" s="232"/>
      <c r="J127" s="233"/>
      <c r="K127" s="233"/>
      <c r="L127" s="233"/>
      <c r="M127" s="233"/>
      <c r="N127" s="233"/>
      <c r="O127" s="233"/>
      <c r="P127" s="233"/>
      <c r="Q127" s="233"/>
      <c r="R127" s="233"/>
      <c r="S127" s="233"/>
      <c r="T127" s="233"/>
      <c r="U127" s="233"/>
      <c r="V127" s="233"/>
      <c r="W127" s="233"/>
      <c r="X127" s="233"/>
      <c r="Y127" s="233"/>
      <c r="Z127" s="233"/>
      <c r="AA127" s="233"/>
      <c r="AB127" s="233"/>
      <c r="AC127" s="233"/>
      <c r="AD127" s="233"/>
    </row>
    <row r="128">
      <c r="A128" s="190"/>
      <c r="B128" s="190"/>
      <c r="C128" s="189" t="s">
        <v>59</v>
      </c>
      <c r="D128" s="189" t="s">
        <v>59</v>
      </c>
      <c r="E128" s="190"/>
      <c r="F128" s="274" t="s">
        <v>60</v>
      </c>
      <c r="G128" s="272">
        <v>0.0</v>
      </c>
      <c r="H128" s="286">
        <v>0.0</v>
      </c>
      <c r="I128" s="274"/>
      <c r="J128" s="276"/>
      <c r="K128" s="276"/>
      <c r="L128" s="276"/>
      <c r="M128" s="276"/>
      <c r="N128" s="276"/>
      <c r="O128" s="276"/>
      <c r="P128" s="276"/>
      <c r="Q128" s="276"/>
      <c r="R128" s="276"/>
      <c r="S128" s="276"/>
      <c r="T128" s="276"/>
      <c r="U128" s="276"/>
      <c r="V128" s="276"/>
      <c r="W128" s="276"/>
      <c r="X128" s="276"/>
      <c r="Y128" s="276"/>
      <c r="Z128" s="276"/>
      <c r="AA128" s="276"/>
      <c r="AB128" s="276"/>
      <c r="AC128" s="276"/>
      <c r="AD128" s="276"/>
    </row>
    <row r="129">
      <c r="A129" s="225"/>
      <c r="B129" s="225"/>
      <c r="C129" s="225"/>
      <c r="D129" s="225"/>
      <c r="E129" s="225"/>
      <c r="F129" s="232"/>
      <c r="G129" s="284"/>
      <c r="H129" s="232"/>
      <c r="I129" s="232"/>
      <c r="J129" s="233"/>
      <c r="K129" s="233"/>
      <c r="L129" s="233"/>
      <c r="M129" s="233"/>
      <c r="N129" s="233"/>
      <c r="O129" s="233"/>
      <c r="P129" s="233"/>
      <c r="Q129" s="233"/>
      <c r="R129" s="233"/>
      <c r="S129" s="233"/>
      <c r="T129" s="233"/>
      <c r="U129" s="233"/>
      <c r="V129" s="233"/>
      <c r="W129" s="233"/>
      <c r="X129" s="233"/>
      <c r="Y129" s="233"/>
      <c r="Z129" s="233"/>
      <c r="AA129" s="233"/>
      <c r="AB129" s="233"/>
      <c r="AC129" s="233"/>
      <c r="AD129" s="233"/>
    </row>
    <row r="130">
      <c r="A130" s="242" t="s">
        <v>51</v>
      </c>
      <c r="B130" s="242" t="s">
        <v>47</v>
      </c>
      <c r="C130" s="242" t="s">
        <v>47</v>
      </c>
      <c r="D130" s="242" t="s">
        <v>47</v>
      </c>
      <c r="E130" s="241"/>
      <c r="F130" s="243" t="s">
        <v>30</v>
      </c>
      <c r="G130" s="244">
        <f>G132</f>
        <v>0</v>
      </c>
      <c r="H130" s="245">
        <f>G130/$G$7</f>
        <v>0</v>
      </c>
      <c r="I130" s="278"/>
      <c r="J130" s="295"/>
      <c r="K130" s="295"/>
      <c r="L130" s="295"/>
      <c r="M130" s="295"/>
      <c r="N130" s="295"/>
      <c r="O130" s="295"/>
      <c r="P130" s="295"/>
      <c r="Q130" s="295"/>
      <c r="R130" s="295"/>
      <c r="S130" s="295"/>
      <c r="T130" s="295"/>
      <c r="U130" s="295"/>
      <c r="V130" s="295"/>
      <c r="W130" s="295"/>
      <c r="X130" s="295"/>
      <c r="Y130" s="295"/>
      <c r="Z130" s="295"/>
      <c r="AA130" s="295"/>
      <c r="AB130" s="295"/>
      <c r="AC130" s="295"/>
      <c r="AD130" s="295"/>
    </row>
    <row r="131">
      <c r="A131" s="190"/>
      <c r="B131" s="309"/>
      <c r="C131" s="309"/>
      <c r="D131" s="309"/>
      <c r="E131" s="190"/>
      <c r="F131" s="310"/>
      <c r="G131" s="311"/>
      <c r="H131" s="312"/>
      <c r="I131" s="308"/>
      <c r="J131" s="275" t="s">
        <v>121</v>
      </c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  <c r="AA131" s="283"/>
      <c r="AB131" s="283"/>
      <c r="AC131" s="283"/>
      <c r="AD131" s="283"/>
    </row>
    <row r="132">
      <c r="A132" s="241"/>
      <c r="B132" s="242" t="s">
        <v>46</v>
      </c>
      <c r="C132" s="242" t="s">
        <v>47</v>
      </c>
      <c r="D132" s="242" t="s">
        <v>47</v>
      </c>
      <c r="E132" s="241"/>
      <c r="F132" s="243" t="s">
        <v>31</v>
      </c>
      <c r="G132" s="244">
        <f>G134+G136</f>
        <v>0</v>
      </c>
      <c r="H132" s="294">
        <v>0.0</v>
      </c>
      <c r="I132" s="278"/>
      <c r="J132" s="247"/>
      <c r="K132" s="247"/>
      <c r="L132" s="247"/>
      <c r="M132" s="247"/>
      <c r="N132" s="247"/>
      <c r="O132" s="247"/>
      <c r="P132" s="247"/>
      <c r="Q132" s="247"/>
      <c r="R132" s="247"/>
      <c r="S132" s="247"/>
      <c r="T132" s="247"/>
      <c r="U132" s="247"/>
      <c r="V132" s="247"/>
      <c r="W132" s="247"/>
      <c r="X132" s="247"/>
      <c r="Y132" s="247"/>
      <c r="Z132" s="247"/>
      <c r="AA132" s="247"/>
      <c r="AB132" s="247"/>
      <c r="AC132" s="247"/>
      <c r="AD132" s="247"/>
    </row>
    <row r="133">
      <c r="A133" s="190"/>
      <c r="B133" s="190"/>
      <c r="C133" s="189"/>
      <c r="D133" s="189"/>
      <c r="E133" s="190"/>
      <c r="F133" s="279"/>
      <c r="G133" s="285"/>
      <c r="H133" s="252"/>
      <c r="I133" s="308"/>
      <c r="J133" s="283"/>
      <c r="K133" s="283"/>
      <c r="L133" s="283"/>
      <c r="M133" s="283"/>
      <c r="N133" s="283"/>
      <c r="O133" s="283"/>
      <c r="P133" s="283"/>
      <c r="Q133" s="283"/>
      <c r="R133" s="283"/>
      <c r="S133" s="283"/>
      <c r="T133" s="283"/>
      <c r="U133" s="283"/>
      <c r="V133" s="283"/>
      <c r="W133" s="283"/>
      <c r="X133" s="283"/>
      <c r="Y133" s="283"/>
      <c r="Z133" s="283"/>
      <c r="AA133" s="283"/>
      <c r="AB133" s="283"/>
      <c r="AC133" s="283"/>
      <c r="AD133" s="283"/>
    </row>
    <row r="134">
      <c r="A134" s="190"/>
      <c r="B134" s="190"/>
      <c r="C134" s="189" t="s">
        <v>47</v>
      </c>
      <c r="D134" s="189" t="s">
        <v>46</v>
      </c>
      <c r="E134" s="190"/>
      <c r="F134" s="279" t="s">
        <v>101</v>
      </c>
      <c r="G134" s="272">
        <v>0.0</v>
      </c>
      <c r="H134" s="286">
        <v>0.0</v>
      </c>
      <c r="I134" s="308"/>
      <c r="J134" s="283"/>
      <c r="K134" s="283"/>
      <c r="L134" s="283"/>
      <c r="M134" s="283"/>
      <c r="N134" s="283"/>
      <c r="O134" s="283"/>
      <c r="P134" s="283"/>
      <c r="Q134" s="283"/>
      <c r="R134" s="283"/>
      <c r="S134" s="283"/>
      <c r="T134" s="283"/>
      <c r="U134" s="283"/>
      <c r="V134" s="283"/>
      <c r="W134" s="283"/>
      <c r="X134" s="283"/>
      <c r="Y134" s="283"/>
      <c r="Z134" s="283"/>
      <c r="AA134" s="283"/>
      <c r="AB134" s="283"/>
      <c r="AC134" s="283"/>
      <c r="AD134" s="283"/>
    </row>
    <row r="135">
      <c r="A135" s="190"/>
      <c r="B135" s="190"/>
      <c r="C135" s="189"/>
      <c r="D135" s="189"/>
      <c r="E135" s="190"/>
      <c r="F135" s="279"/>
      <c r="G135" s="285"/>
      <c r="H135" s="252"/>
      <c r="I135" s="279"/>
      <c r="J135" s="283"/>
      <c r="K135" s="283"/>
      <c r="L135" s="283"/>
      <c r="M135" s="283"/>
      <c r="N135" s="283"/>
      <c r="O135" s="283"/>
      <c r="P135" s="283"/>
      <c r="Q135" s="283"/>
      <c r="R135" s="283"/>
      <c r="S135" s="283"/>
      <c r="T135" s="283"/>
      <c r="U135" s="283"/>
      <c r="V135" s="283"/>
      <c r="W135" s="283"/>
      <c r="X135" s="283"/>
      <c r="Y135" s="283"/>
      <c r="Z135" s="283"/>
      <c r="AA135" s="283"/>
      <c r="AB135" s="283"/>
      <c r="AC135" s="283"/>
      <c r="AD135" s="283"/>
    </row>
    <row r="136">
      <c r="A136" s="190"/>
      <c r="B136" s="190"/>
      <c r="C136" s="189" t="s">
        <v>59</v>
      </c>
      <c r="D136" s="189" t="s">
        <v>59</v>
      </c>
      <c r="E136" s="190"/>
      <c r="F136" s="279" t="s">
        <v>60</v>
      </c>
      <c r="G136" s="272">
        <v>0.0</v>
      </c>
      <c r="H136" s="286">
        <v>0.0</v>
      </c>
      <c r="I136" s="279"/>
      <c r="J136" s="283"/>
      <c r="K136" s="283"/>
      <c r="L136" s="283"/>
      <c r="M136" s="283"/>
      <c r="N136" s="283"/>
      <c r="O136" s="283"/>
      <c r="P136" s="283"/>
      <c r="Q136" s="283"/>
      <c r="R136" s="283"/>
      <c r="S136" s="283"/>
      <c r="T136" s="283"/>
      <c r="U136" s="283"/>
      <c r="V136" s="283"/>
      <c r="W136" s="283"/>
      <c r="X136" s="283"/>
      <c r="Y136" s="283"/>
      <c r="Z136" s="283"/>
      <c r="AA136" s="283"/>
      <c r="AB136" s="283"/>
      <c r="AC136" s="283"/>
      <c r="AD136" s="283"/>
    </row>
    <row r="137">
      <c r="A137" s="225"/>
      <c r="B137" s="223"/>
      <c r="C137" s="223"/>
      <c r="D137" s="223"/>
      <c r="E137" s="223"/>
      <c r="F137" s="229"/>
      <c r="G137" s="284"/>
      <c r="H137" s="313"/>
      <c r="I137" s="229"/>
      <c r="J137" s="269"/>
      <c r="K137" s="269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  <c r="AA137" s="269"/>
      <c r="AB137" s="269"/>
      <c r="AC137" s="269"/>
      <c r="AD137" s="269"/>
    </row>
    <row r="138">
      <c r="A138" s="225"/>
      <c r="B138" s="223"/>
      <c r="C138" s="223"/>
      <c r="D138" s="223"/>
      <c r="E138" s="223"/>
      <c r="F138" s="229"/>
      <c r="G138" s="284"/>
      <c r="H138" s="313"/>
      <c r="I138" s="229"/>
      <c r="J138" s="269"/>
      <c r="K138" s="269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  <c r="X138" s="269"/>
      <c r="Y138" s="269"/>
      <c r="Z138" s="269"/>
      <c r="AA138" s="269"/>
      <c r="AB138" s="269"/>
      <c r="AC138" s="269"/>
      <c r="AD138" s="269"/>
    </row>
    <row r="139">
      <c r="A139" s="225"/>
      <c r="B139" s="225"/>
      <c r="C139" s="223"/>
      <c r="D139" s="225"/>
      <c r="E139" s="225"/>
      <c r="F139" s="229"/>
      <c r="G139" s="284"/>
      <c r="H139" s="313"/>
      <c r="I139" s="229"/>
      <c r="J139" s="269"/>
      <c r="K139" s="269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  <c r="X139" s="269"/>
      <c r="Y139" s="269"/>
      <c r="Z139" s="269"/>
      <c r="AA139" s="269"/>
      <c r="AB139" s="269"/>
      <c r="AC139" s="269"/>
      <c r="AD139" s="269"/>
    </row>
  </sheetData>
  <mergeCells count="9">
    <mergeCell ref="I5:I6"/>
    <mergeCell ref="J5:J6"/>
    <mergeCell ref="A1:J1"/>
    <mergeCell ref="A2:J2"/>
    <mergeCell ref="A3:J3"/>
    <mergeCell ref="A4:H4"/>
    <mergeCell ref="I4:J4"/>
    <mergeCell ref="A5:D5"/>
    <mergeCell ref="E5:F5"/>
  </mergeCells>
  <printOptions horizontalCentered="1"/>
  <pageMargins bottom="0.75" footer="0.0" header="0.0" left="0.25" right="0.25" top="0.75"/>
  <pageSetup paperSize="9" cellComments="atEnd" orientation="portrait" pageOrder="overThenDown"/>
  <headerFooter>
    <oddFooter>&amp;L&amp;A&amp;R&amp;P</oddFooter>
  </headerFooter>
  <rowBreaks count="6" manualBreakCount="6">
    <brk id="32" man="1"/>
    <brk id="115" man="1"/>
    <brk id="37" man="1"/>
    <brk id="72" man="1"/>
    <brk id="90" man="1"/>
    <brk id="77" man="1"/>
  </rowBreaks>
  <colBreaks count="2" manualBreakCount="2">
    <brk man="1"/>
    <brk id="10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2.75"/>
    <col customWidth="1" min="3" max="3" width="3.0"/>
    <col customWidth="1" min="4" max="4" width="2.75"/>
    <col customWidth="1" min="5" max="5" width="5.13"/>
    <col customWidth="1" min="6" max="6" width="33.25"/>
    <col customWidth="1" min="7" max="7" width="13.63"/>
    <col customWidth="1" min="8" max="8" width="11.63"/>
    <col customWidth="1" min="9" max="9" width="96.13"/>
    <col customWidth="1" min="10" max="30" width="29.25"/>
  </cols>
  <sheetData>
    <row r="1">
      <c r="A1" s="314" t="s">
        <v>122</v>
      </c>
      <c r="J1" s="224"/>
      <c r="K1" s="315"/>
      <c r="L1" s="315"/>
      <c r="M1" s="315"/>
      <c r="N1" s="315"/>
      <c r="O1" s="315"/>
      <c r="P1" s="315"/>
      <c r="Q1" s="315"/>
      <c r="R1" s="315"/>
      <c r="S1" s="315"/>
      <c r="T1" s="315"/>
      <c r="U1" s="315"/>
      <c r="V1" s="315"/>
      <c r="W1" s="315"/>
      <c r="X1" s="315"/>
      <c r="Y1" s="315"/>
      <c r="Z1" s="315"/>
      <c r="AA1" s="315"/>
      <c r="AB1" s="315"/>
      <c r="AC1" s="315"/>
      <c r="AD1" s="315"/>
    </row>
    <row r="2">
      <c r="A2" s="215" t="s">
        <v>2</v>
      </c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</row>
    <row r="3">
      <c r="A3" s="216" t="s">
        <v>3</v>
      </c>
      <c r="I3" s="316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</row>
    <row r="4">
      <c r="A4" s="317" t="s">
        <v>39</v>
      </c>
      <c r="B4" s="8"/>
      <c r="C4" s="8"/>
      <c r="D4" s="8"/>
      <c r="E4" s="318" t="s">
        <v>40</v>
      </c>
      <c r="F4" s="8"/>
      <c r="G4" s="319" t="s">
        <v>103</v>
      </c>
      <c r="H4" s="319" t="s">
        <v>103</v>
      </c>
      <c r="I4" s="320" t="s">
        <v>12</v>
      </c>
      <c r="J4" s="321" t="s">
        <v>104</v>
      </c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</row>
    <row r="5">
      <c r="A5" s="218" t="s">
        <v>10</v>
      </c>
      <c r="B5" s="322" t="s">
        <v>11</v>
      </c>
      <c r="C5" s="323" t="s">
        <v>34</v>
      </c>
      <c r="D5" s="218" t="s">
        <v>36</v>
      </c>
      <c r="E5" s="324" t="s">
        <v>44</v>
      </c>
      <c r="F5" s="325" t="s">
        <v>45</v>
      </c>
      <c r="G5" s="325" t="s">
        <v>13</v>
      </c>
      <c r="H5" s="325" t="s">
        <v>14</v>
      </c>
      <c r="I5" s="326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</row>
    <row r="6">
      <c r="A6" s="317"/>
      <c r="B6" s="327"/>
      <c r="C6" s="327"/>
      <c r="D6" s="327"/>
      <c r="E6" s="225"/>
      <c r="F6" s="328" t="s">
        <v>15</v>
      </c>
      <c r="G6" s="329">
        <f>G8+G333+G358</f>
        <v>1396063.684</v>
      </c>
      <c r="H6" s="330">
        <v>1.0</v>
      </c>
      <c r="I6" s="331"/>
      <c r="J6" s="332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  <c r="Z6" s="230"/>
      <c r="AA6" s="230"/>
      <c r="AB6" s="230"/>
      <c r="AC6" s="230"/>
      <c r="AD6" s="230"/>
    </row>
    <row r="7">
      <c r="A7" s="218"/>
      <c r="B7" s="333"/>
      <c r="C7" s="333"/>
      <c r="D7" s="333"/>
      <c r="E7" s="225"/>
      <c r="F7" s="334"/>
      <c r="G7" s="335"/>
      <c r="H7" s="335"/>
      <c r="I7" s="336"/>
      <c r="J7" s="337"/>
      <c r="K7" s="233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3"/>
      <c r="Z7" s="233"/>
      <c r="AA7" s="233"/>
      <c r="AB7" s="233"/>
      <c r="AC7" s="233"/>
      <c r="AD7" s="233"/>
    </row>
    <row r="8">
      <c r="A8" s="338" t="s">
        <v>46</v>
      </c>
      <c r="B8" s="339" t="s">
        <v>47</v>
      </c>
      <c r="C8" s="339" t="s">
        <v>47</v>
      </c>
      <c r="D8" s="339" t="s">
        <v>47</v>
      </c>
      <c r="E8" s="340"/>
      <c r="F8" s="341" t="s">
        <v>16</v>
      </c>
      <c r="G8" s="342">
        <f>G10+G42+G54+G65+G73+G206+G217+G225+G257+G299</f>
        <v>1183895.105</v>
      </c>
      <c r="H8" s="343">
        <f>G8/$G$6</f>
        <v>0.8480237103</v>
      </c>
      <c r="I8" s="344"/>
      <c r="J8" s="345"/>
      <c r="K8" s="346"/>
      <c r="L8" s="346"/>
      <c r="M8" s="346"/>
      <c r="N8" s="346"/>
      <c r="O8" s="346"/>
      <c r="P8" s="346"/>
      <c r="Q8" s="346"/>
      <c r="R8" s="346"/>
      <c r="S8" s="346"/>
      <c r="T8" s="346"/>
      <c r="U8" s="346"/>
      <c r="V8" s="346"/>
      <c r="W8" s="346"/>
      <c r="X8" s="346"/>
      <c r="Y8" s="346"/>
      <c r="Z8" s="346"/>
      <c r="AA8" s="346"/>
      <c r="AB8" s="346"/>
      <c r="AC8" s="346"/>
      <c r="AD8" s="346"/>
    </row>
    <row r="9">
      <c r="A9" s="347"/>
      <c r="B9" s="333"/>
      <c r="C9" s="323"/>
      <c r="D9" s="323"/>
      <c r="E9" s="223"/>
      <c r="F9" s="348"/>
      <c r="G9" s="349"/>
      <c r="H9" s="336"/>
      <c r="I9" s="336"/>
      <c r="J9" s="337"/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/>
      <c r="X9" s="233"/>
      <c r="Y9" s="233"/>
      <c r="Z9" s="233"/>
      <c r="AA9" s="233"/>
      <c r="AB9" s="233"/>
      <c r="AC9" s="233"/>
      <c r="AD9" s="233"/>
    </row>
    <row r="10">
      <c r="A10" s="350"/>
      <c r="B10" s="351" t="s">
        <v>46</v>
      </c>
      <c r="C10" s="351" t="s">
        <v>47</v>
      </c>
      <c r="D10" s="351" t="s">
        <v>47</v>
      </c>
      <c r="E10" s="352"/>
      <c r="F10" s="353" t="s">
        <v>17</v>
      </c>
      <c r="G10" s="354">
        <f>G11+G17+G20+G24+G29+G39+G33</f>
        <v>150568.4211</v>
      </c>
      <c r="H10" s="355">
        <f>G10/$G$8</f>
        <v>0.1271805419</v>
      </c>
      <c r="I10" s="356"/>
      <c r="J10" s="357"/>
      <c r="K10" s="358"/>
      <c r="L10" s="358"/>
      <c r="M10" s="358"/>
      <c r="N10" s="358"/>
      <c r="O10" s="358"/>
      <c r="P10" s="358"/>
      <c r="Q10" s="358"/>
      <c r="R10" s="358"/>
      <c r="S10" s="358"/>
      <c r="T10" s="358"/>
      <c r="U10" s="358"/>
      <c r="V10" s="358"/>
      <c r="W10" s="358"/>
      <c r="X10" s="358"/>
      <c r="Y10" s="358"/>
      <c r="Z10" s="358"/>
      <c r="AA10" s="358"/>
      <c r="AB10" s="358"/>
      <c r="AC10" s="358"/>
      <c r="AD10" s="358"/>
    </row>
    <row r="11">
      <c r="A11" s="359"/>
      <c r="B11" s="360"/>
      <c r="C11" s="361" t="s">
        <v>47</v>
      </c>
      <c r="D11" s="361" t="s">
        <v>46</v>
      </c>
      <c r="E11" s="362"/>
      <c r="F11" s="363" t="s">
        <v>48</v>
      </c>
      <c r="G11" s="364">
        <f>SUM(G12:G16)</f>
        <v>80410</v>
      </c>
      <c r="H11" s="365">
        <f>G11/$G$10</f>
        <v>0.5340429251</v>
      </c>
      <c r="I11" s="366"/>
      <c r="J11" s="367"/>
      <c r="K11" s="368"/>
      <c r="L11" s="368"/>
      <c r="M11" s="368"/>
      <c r="N11" s="368"/>
      <c r="O11" s="368"/>
      <c r="P11" s="368"/>
      <c r="Q11" s="368"/>
      <c r="R11" s="368"/>
      <c r="S11" s="368"/>
      <c r="T11" s="368"/>
      <c r="U11" s="368"/>
      <c r="V11" s="368"/>
      <c r="W11" s="368"/>
      <c r="X11" s="368"/>
      <c r="Y11" s="368"/>
      <c r="Z11" s="368"/>
      <c r="AA11" s="368"/>
      <c r="AB11" s="368"/>
      <c r="AC11" s="368"/>
      <c r="AD11" s="368"/>
    </row>
    <row r="12">
      <c r="A12" s="347"/>
      <c r="B12" s="333"/>
      <c r="C12" s="323"/>
      <c r="D12" s="323"/>
      <c r="E12" s="223" t="s">
        <v>123</v>
      </c>
      <c r="F12" s="369" t="s">
        <v>124</v>
      </c>
      <c r="G12" s="370">
        <v>35910.0</v>
      </c>
      <c r="H12" s="371">
        <f t="shared" ref="H12:H16" si="1">G12/$G$11</f>
        <v>0.4465862455</v>
      </c>
      <c r="I12" s="372" t="s">
        <v>125</v>
      </c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73"/>
      <c r="X12" s="373"/>
      <c r="Y12" s="373"/>
      <c r="Z12" s="373"/>
      <c r="AA12" s="373"/>
      <c r="AB12" s="373"/>
      <c r="AC12" s="373"/>
      <c r="AD12" s="373"/>
    </row>
    <row r="13">
      <c r="A13" s="347"/>
      <c r="B13" s="333"/>
      <c r="C13" s="323"/>
      <c r="D13" s="323"/>
      <c r="E13" s="223" t="s">
        <v>126</v>
      </c>
      <c r="F13" s="369" t="s">
        <v>127</v>
      </c>
      <c r="G13" s="370">
        <v>15000.0</v>
      </c>
      <c r="H13" s="371">
        <f t="shared" si="1"/>
        <v>0.1865439622</v>
      </c>
      <c r="I13" s="372" t="s">
        <v>128</v>
      </c>
      <c r="J13" s="374"/>
      <c r="K13" s="375"/>
      <c r="L13" s="376"/>
      <c r="M13" s="377"/>
      <c r="N13" s="269"/>
      <c r="O13" s="269"/>
      <c r="P13" s="269"/>
      <c r="Q13" s="269"/>
      <c r="R13" s="269"/>
      <c r="S13" s="269"/>
      <c r="T13" s="269"/>
      <c r="U13" s="269"/>
      <c r="V13" s="269"/>
      <c r="W13" s="269"/>
      <c r="X13" s="269"/>
      <c r="Y13" s="269"/>
      <c r="Z13" s="269"/>
      <c r="AA13" s="269"/>
      <c r="AB13" s="269"/>
      <c r="AC13" s="269"/>
      <c r="AD13" s="269"/>
    </row>
    <row r="14">
      <c r="A14" s="347"/>
      <c r="B14" s="333"/>
      <c r="C14" s="323"/>
      <c r="D14" s="323"/>
      <c r="E14" s="223" t="s">
        <v>129</v>
      </c>
      <c r="F14" s="369" t="s">
        <v>130</v>
      </c>
      <c r="G14" s="370">
        <v>28000.0</v>
      </c>
      <c r="H14" s="371">
        <f t="shared" si="1"/>
        <v>0.3482153961</v>
      </c>
      <c r="I14" s="372" t="s">
        <v>131</v>
      </c>
      <c r="J14" s="378"/>
      <c r="K14" s="375"/>
      <c r="L14" s="376"/>
      <c r="M14" s="269"/>
      <c r="N14" s="269"/>
      <c r="O14" s="269"/>
      <c r="P14" s="269"/>
      <c r="Q14" s="269"/>
      <c r="R14" s="269"/>
      <c r="S14" s="269"/>
      <c r="T14" s="269"/>
      <c r="U14" s="269"/>
      <c r="V14" s="269"/>
      <c r="W14" s="269"/>
      <c r="X14" s="269"/>
      <c r="Y14" s="269"/>
      <c r="Z14" s="269"/>
      <c r="AA14" s="269"/>
      <c r="AB14" s="269"/>
      <c r="AC14" s="269"/>
      <c r="AD14" s="269"/>
    </row>
    <row r="15">
      <c r="A15" s="347"/>
      <c r="B15" s="333"/>
      <c r="C15" s="323"/>
      <c r="D15" s="323"/>
      <c r="E15" s="223" t="s">
        <v>132</v>
      </c>
      <c r="F15" s="369" t="s">
        <v>133</v>
      </c>
      <c r="G15" s="370">
        <v>1000.0</v>
      </c>
      <c r="H15" s="371">
        <f t="shared" si="1"/>
        <v>0.01243626415</v>
      </c>
      <c r="I15" s="372" t="s">
        <v>134</v>
      </c>
      <c r="J15" s="374"/>
      <c r="K15" s="375"/>
      <c r="L15" s="376"/>
      <c r="M15" s="377"/>
      <c r="N15" s="269"/>
      <c r="O15" s="269"/>
      <c r="P15" s="269"/>
      <c r="Q15" s="269"/>
      <c r="R15" s="269"/>
      <c r="S15" s="269"/>
      <c r="T15" s="269"/>
      <c r="U15" s="269"/>
      <c r="V15" s="269"/>
      <c r="W15" s="269"/>
      <c r="X15" s="269"/>
      <c r="Y15" s="269"/>
      <c r="Z15" s="269"/>
      <c r="AA15" s="269"/>
      <c r="AB15" s="269"/>
      <c r="AC15" s="269"/>
      <c r="AD15" s="269"/>
    </row>
    <row r="16">
      <c r="A16" s="347"/>
      <c r="B16" s="333"/>
      <c r="C16" s="323"/>
      <c r="D16" s="323"/>
      <c r="E16" s="223" t="s">
        <v>135</v>
      </c>
      <c r="F16" s="369" t="s">
        <v>136</v>
      </c>
      <c r="G16" s="370">
        <v>500.0</v>
      </c>
      <c r="H16" s="371">
        <f t="shared" si="1"/>
        <v>0.006218132073</v>
      </c>
      <c r="I16" s="372" t="s">
        <v>137</v>
      </c>
      <c r="J16" s="374"/>
      <c r="K16" s="375"/>
      <c r="L16" s="376"/>
      <c r="M16" s="269"/>
      <c r="N16" s="269"/>
      <c r="O16" s="269"/>
      <c r="P16" s="269"/>
      <c r="Q16" s="269"/>
      <c r="R16" s="269"/>
      <c r="S16" s="269"/>
      <c r="T16" s="269"/>
      <c r="U16" s="269"/>
      <c r="V16" s="269"/>
      <c r="W16" s="269"/>
      <c r="X16" s="269"/>
      <c r="Y16" s="269"/>
      <c r="Z16" s="269"/>
      <c r="AA16" s="269"/>
      <c r="AB16" s="269"/>
      <c r="AC16" s="269"/>
      <c r="AD16" s="269"/>
    </row>
    <row r="17">
      <c r="A17" s="379"/>
      <c r="B17" s="380"/>
      <c r="C17" s="381" t="s">
        <v>47</v>
      </c>
      <c r="D17" s="381" t="s">
        <v>49</v>
      </c>
      <c r="E17" s="382"/>
      <c r="F17" s="383" t="s">
        <v>138</v>
      </c>
      <c r="G17" s="384">
        <f>SUM(G18:G19)</f>
        <v>3300</v>
      </c>
      <c r="H17" s="385">
        <f>G17/$G$10</f>
        <v>0.02191694631</v>
      </c>
      <c r="I17" s="386"/>
      <c r="J17" s="387"/>
      <c r="K17" s="388"/>
      <c r="L17" s="389"/>
      <c r="M17" s="390"/>
      <c r="N17" s="390"/>
      <c r="O17" s="390"/>
      <c r="P17" s="390"/>
      <c r="Q17" s="390"/>
      <c r="R17" s="390"/>
      <c r="S17" s="390"/>
      <c r="T17" s="390"/>
      <c r="U17" s="390"/>
      <c r="V17" s="390"/>
      <c r="W17" s="390"/>
      <c r="X17" s="390"/>
      <c r="Y17" s="390"/>
      <c r="Z17" s="390"/>
      <c r="AA17" s="390"/>
      <c r="AB17" s="390"/>
      <c r="AC17" s="390"/>
      <c r="AD17" s="390"/>
    </row>
    <row r="18">
      <c r="A18" s="347"/>
      <c r="B18" s="333"/>
      <c r="C18" s="323"/>
      <c r="D18" s="323"/>
      <c r="E18" s="189" t="s">
        <v>132</v>
      </c>
      <c r="F18" s="391" t="s">
        <v>133</v>
      </c>
      <c r="G18" s="392">
        <v>500.0</v>
      </c>
      <c r="H18" s="371">
        <f t="shared" ref="H18:H19" si="2">G18/$G$17</f>
        <v>0.1515151515</v>
      </c>
      <c r="I18" s="372" t="s">
        <v>139</v>
      </c>
      <c r="J18" s="374"/>
      <c r="K18" s="269"/>
      <c r="L18" s="269"/>
      <c r="M18" s="269"/>
      <c r="N18" s="269"/>
      <c r="O18" s="269"/>
      <c r="P18" s="269"/>
      <c r="Q18" s="269"/>
      <c r="R18" s="269"/>
      <c r="S18" s="269"/>
      <c r="T18" s="269"/>
      <c r="U18" s="269"/>
      <c r="V18" s="269"/>
      <c r="W18" s="269"/>
      <c r="X18" s="269"/>
      <c r="Y18" s="269"/>
      <c r="Z18" s="269"/>
      <c r="AA18" s="269"/>
      <c r="AB18" s="269"/>
      <c r="AC18" s="269"/>
      <c r="AD18" s="269"/>
    </row>
    <row r="19">
      <c r="A19" s="347"/>
      <c r="B19" s="333"/>
      <c r="C19" s="323"/>
      <c r="D19" s="323"/>
      <c r="E19" s="189" t="s">
        <v>140</v>
      </c>
      <c r="F19" s="391" t="s">
        <v>141</v>
      </c>
      <c r="G19" s="392">
        <v>2800.0</v>
      </c>
      <c r="H19" s="371">
        <f t="shared" si="2"/>
        <v>0.8484848485</v>
      </c>
      <c r="I19" s="372" t="s">
        <v>142</v>
      </c>
      <c r="J19" s="374"/>
      <c r="K19" s="375"/>
      <c r="L19" s="376"/>
      <c r="M19" s="269"/>
      <c r="N19" s="269"/>
      <c r="O19" s="269"/>
      <c r="P19" s="269"/>
      <c r="Q19" s="269"/>
      <c r="R19" s="269"/>
      <c r="S19" s="269"/>
      <c r="T19" s="269"/>
      <c r="U19" s="269"/>
      <c r="V19" s="269"/>
      <c r="W19" s="269"/>
      <c r="X19" s="269"/>
      <c r="Y19" s="269"/>
      <c r="Z19" s="269"/>
      <c r="AA19" s="269"/>
      <c r="AB19" s="269"/>
      <c r="AC19" s="269"/>
      <c r="AD19" s="269"/>
    </row>
    <row r="20">
      <c r="A20" s="347"/>
      <c r="B20" s="393"/>
      <c r="C20" s="394" t="s">
        <v>47</v>
      </c>
      <c r="D20" s="394" t="s">
        <v>51</v>
      </c>
      <c r="E20" s="395"/>
      <c r="F20" s="363" t="s">
        <v>52</v>
      </c>
      <c r="G20" s="364">
        <f>SUM(G21:G23)</f>
        <v>7880</v>
      </c>
      <c r="H20" s="365">
        <f>G20/$G$10</f>
        <v>0.05233501119</v>
      </c>
      <c r="I20" s="396"/>
      <c r="J20" s="367"/>
      <c r="K20" s="397"/>
      <c r="L20" s="368"/>
      <c r="M20" s="368"/>
      <c r="N20" s="368"/>
      <c r="O20" s="368"/>
      <c r="P20" s="368"/>
      <c r="Q20" s="368"/>
      <c r="R20" s="368"/>
      <c r="S20" s="368"/>
      <c r="T20" s="368"/>
      <c r="U20" s="368"/>
      <c r="V20" s="368"/>
      <c r="W20" s="368"/>
      <c r="X20" s="368"/>
      <c r="Y20" s="368"/>
      <c r="Z20" s="368"/>
      <c r="AA20" s="368"/>
      <c r="AB20" s="368"/>
      <c r="AC20" s="368"/>
      <c r="AD20" s="368"/>
    </row>
    <row r="21">
      <c r="A21" s="347"/>
      <c r="B21" s="333"/>
      <c r="C21" s="323"/>
      <c r="D21" s="323"/>
      <c r="E21" s="189" t="s">
        <v>143</v>
      </c>
      <c r="F21" s="398" t="s">
        <v>144</v>
      </c>
      <c r="G21" s="392">
        <v>6080.0</v>
      </c>
      <c r="H21" s="371">
        <f t="shared" ref="H21:H23" si="3">G21/$G$20</f>
        <v>0.7715736041</v>
      </c>
      <c r="I21" s="372" t="s">
        <v>145</v>
      </c>
      <c r="J21" s="374"/>
      <c r="K21" s="399"/>
      <c r="L21" s="376"/>
      <c r="M21" s="269"/>
      <c r="N21" s="269"/>
      <c r="O21" s="269"/>
      <c r="P21" s="269"/>
      <c r="Q21" s="269"/>
      <c r="R21" s="269"/>
      <c r="S21" s="269"/>
      <c r="T21" s="269"/>
      <c r="U21" s="269"/>
      <c r="V21" s="269"/>
      <c r="W21" s="269"/>
      <c r="X21" s="269"/>
      <c r="Y21" s="269"/>
      <c r="Z21" s="269"/>
      <c r="AA21" s="269"/>
      <c r="AB21" s="269"/>
      <c r="AC21" s="269"/>
      <c r="AD21" s="269"/>
    </row>
    <row r="22">
      <c r="A22" s="347"/>
      <c r="B22" s="333"/>
      <c r="C22" s="323"/>
      <c r="D22" s="323"/>
      <c r="E22" s="189" t="s">
        <v>129</v>
      </c>
      <c r="F22" s="400" t="s">
        <v>130</v>
      </c>
      <c r="G22" s="401">
        <v>800.0</v>
      </c>
      <c r="H22" s="371">
        <f t="shared" si="3"/>
        <v>0.1015228426</v>
      </c>
      <c r="I22" s="372" t="s">
        <v>146</v>
      </c>
      <c r="J22" s="374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69"/>
      <c r="W22" s="269"/>
      <c r="X22" s="269"/>
      <c r="Y22" s="269"/>
      <c r="Z22" s="269"/>
      <c r="AA22" s="269"/>
      <c r="AB22" s="269"/>
      <c r="AC22" s="269"/>
      <c r="AD22" s="269"/>
    </row>
    <row r="23">
      <c r="A23" s="347"/>
      <c r="B23" s="333"/>
      <c r="C23" s="323"/>
      <c r="D23" s="323"/>
      <c r="E23" s="189" t="s">
        <v>140</v>
      </c>
      <c r="F23" s="391" t="s">
        <v>141</v>
      </c>
      <c r="G23" s="401">
        <v>1000.0</v>
      </c>
      <c r="H23" s="371">
        <f t="shared" si="3"/>
        <v>0.1269035533</v>
      </c>
      <c r="I23" s="372" t="s">
        <v>147</v>
      </c>
      <c r="J23" s="374"/>
      <c r="K23" s="402"/>
      <c r="L23" s="376"/>
      <c r="M23" s="269"/>
      <c r="N23" s="269"/>
      <c r="O23" s="269"/>
      <c r="P23" s="269"/>
      <c r="Q23" s="269"/>
      <c r="R23" s="269"/>
      <c r="S23" s="269"/>
      <c r="T23" s="269"/>
      <c r="U23" s="269"/>
      <c r="V23" s="269"/>
      <c r="W23" s="269"/>
      <c r="X23" s="269"/>
      <c r="Y23" s="269"/>
      <c r="Z23" s="269"/>
      <c r="AA23" s="269"/>
      <c r="AB23" s="269"/>
      <c r="AC23" s="269"/>
      <c r="AD23" s="269"/>
    </row>
    <row r="24">
      <c r="A24" s="347"/>
      <c r="B24" s="380"/>
      <c r="C24" s="381" t="s">
        <v>47</v>
      </c>
      <c r="D24" s="381" t="s">
        <v>53</v>
      </c>
      <c r="E24" s="382"/>
      <c r="F24" s="383" t="s">
        <v>54</v>
      </c>
      <c r="G24" s="384">
        <f>SUM(G25:G28)</f>
        <v>14100</v>
      </c>
      <c r="H24" s="385">
        <f>G24/$G$10</f>
        <v>0.09364513423</v>
      </c>
      <c r="I24" s="386"/>
      <c r="J24" s="387"/>
      <c r="K24" s="388"/>
      <c r="L24" s="389"/>
      <c r="M24" s="390"/>
      <c r="N24" s="390"/>
      <c r="O24" s="390"/>
      <c r="P24" s="390"/>
      <c r="Q24" s="390"/>
      <c r="R24" s="390"/>
      <c r="S24" s="390"/>
      <c r="T24" s="390"/>
      <c r="U24" s="390"/>
      <c r="V24" s="390"/>
      <c r="W24" s="390"/>
      <c r="X24" s="390"/>
      <c r="Y24" s="390"/>
      <c r="Z24" s="390"/>
      <c r="AA24" s="390"/>
      <c r="AB24" s="390"/>
      <c r="AC24" s="390"/>
      <c r="AD24" s="390"/>
    </row>
    <row r="25">
      <c r="A25" s="347"/>
      <c r="B25" s="333"/>
      <c r="C25" s="323"/>
      <c r="D25" s="323"/>
      <c r="E25" s="189" t="s">
        <v>148</v>
      </c>
      <c r="F25" s="398" t="s">
        <v>122</v>
      </c>
      <c r="G25" s="392">
        <v>6000.0</v>
      </c>
      <c r="H25" s="371">
        <f t="shared" ref="H25:H28" si="4">G25/$G$24</f>
        <v>0.4255319149</v>
      </c>
      <c r="I25" s="348" t="s">
        <v>149</v>
      </c>
      <c r="J25" s="374"/>
      <c r="K25" s="375"/>
      <c r="L25" s="376"/>
      <c r="M25" s="377"/>
      <c r="N25" s="269"/>
      <c r="O25" s="269"/>
      <c r="P25" s="269"/>
      <c r="Q25" s="269"/>
      <c r="R25" s="269"/>
      <c r="S25" s="269"/>
      <c r="T25" s="269"/>
      <c r="U25" s="269"/>
      <c r="V25" s="269"/>
      <c r="W25" s="269"/>
      <c r="X25" s="269"/>
      <c r="Y25" s="269"/>
      <c r="Z25" s="269"/>
      <c r="AA25" s="269"/>
      <c r="AB25" s="269"/>
      <c r="AC25" s="269"/>
      <c r="AD25" s="269"/>
    </row>
    <row r="26">
      <c r="A26" s="347"/>
      <c r="B26" s="333"/>
      <c r="C26" s="323"/>
      <c r="D26" s="323"/>
      <c r="E26" s="189" t="s">
        <v>150</v>
      </c>
      <c r="F26" s="400" t="s">
        <v>151</v>
      </c>
      <c r="G26" s="401">
        <v>4800.0</v>
      </c>
      <c r="H26" s="371">
        <f t="shared" si="4"/>
        <v>0.3404255319</v>
      </c>
      <c r="I26" s="348" t="s">
        <v>152</v>
      </c>
      <c r="J26" s="374"/>
      <c r="K26" s="375"/>
      <c r="L26" s="376"/>
      <c r="M26" s="377"/>
      <c r="N26" s="269"/>
      <c r="O26" s="269"/>
      <c r="P26" s="269"/>
      <c r="Q26" s="269"/>
      <c r="R26" s="269"/>
      <c r="S26" s="269"/>
      <c r="T26" s="269"/>
      <c r="U26" s="269"/>
      <c r="V26" s="269"/>
      <c r="W26" s="269"/>
      <c r="X26" s="269"/>
      <c r="Y26" s="269"/>
      <c r="Z26" s="269"/>
      <c r="AA26" s="269"/>
      <c r="AB26" s="269"/>
      <c r="AC26" s="269"/>
      <c r="AD26" s="269"/>
    </row>
    <row r="27">
      <c r="A27" s="347"/>
      <c r="B27" s="333"/>
      <c r="C27" s="323"/>
      <c r="D27" s="323"/>
      <c r="E27" s="189" t="s">
        <v>140</v>
      </c>
      <c r="F27" s="391" t="s">
        <v>141</v>
      </c>
      <c r="G27" s="392">
        <v>2800.0</v>
      </c>
      <c r="H27" s="371">
        <f t="shared" si="4"/>
        <v>0.1985815603</v>
      </c>
      <c r="I27" s="372" t="s">
        <v>153</v>
      </c>
      <c r="J27" s="374"/>
      <c r="K27" s="375"/>
      <c r="L27" s="376"/>
      <c r="M27" s="377"/>
      <c r="N27" s="269"/>
      <c r="O27" s="269"/>
      <c r="P27" s="269"/>
      <c r="Q27" s="269"/>
      <c r="R27" s="269"/>
      <c r="S27" s="269"/>
      <c r="T27" s="269"/>
      <c r="U27" s="269"/>
      <c r="V27" s="269"/>
      <c r="W27" s="269"/>
      <c r="X27" s="269"/>
      <c r="Y27" s="269"/>
      <c r="Z27" s="269"/>
      <c r="AA27" s="269"/>
      <c r="AB27" s="269"/>
      <c r="AC27" s="269"/>
      <c r="AD27" s="269"/>
    </row>
    <row r="28">
      <c r="A28" s="347"/>
      <c r="B28" s="333"/>
      <c r="C28" s="323"/>
      <c r="D28" s="323"/>
      <c r="E28" s="189" t="s">
        <v>135</v>
      </c>
      <c r="F28" s="391" t="s">
        <v>136</v>
      </c>
      <c r="G28" s="392">
        <v>500.0</v>
      </c>
      <c r="H28" s="371">
        <f t="shared" si="4"/>
        <v>0.03546099291</v>
      </c>
      <c r="I28" s="372" t="s">
        <v>154</v>
      </c>
      <c r="J28" s="374"/>
      <c r="K28" s="375"/>
      <c r="L28" s="376"/>
      <c r="M28" s="377"/>
      <c r="N28" s="269"/>
      <c r="O28" s="269"/>
      <c r="P28" s="269"/>
      <c r="Q28" s="269"/>
      <c r="R28" s="269"/>
      <c r="S28" s="269"/>
      <c r="T28" s="269"/>
      <c r="U28" s="269"/>
      <c r="V28" s="269"/>
      <c r="W28" s="269"/>
      <c r="X28" s="269"/>
      <c r="Y28" s="269"/>
      <c r="Z28" s="269"/>
      <c r="AA28" s="269"/>
      <c r="AB28" s="269"/>
      <c r="AC28" s="269"/>
      <c r="AD28" s="269"/>
    </row>
    <row r="29">
      <c r="A29" s="347"/>
      <c r="B29" s="380"/>
      <c r="C29" s="381" t="s">
        <v>47</v>
      </c>
      <c r="D29" s="381" t="s">
        <v>55</v>
      </c>
      <c r="E29" s="382"/>
      <c r="F29" s="383" t="s">
        <v>56</v>
      </c>
      <c r="G29" s="384">
        <f>SUM(G30:G32)</f>
        <v>19050</v>
      </c>
      <c r="H29" s="385">
        <f>G29/$G$10</f>
        <v>0.1265205537</v>
      </c>
      <c r="I29" s="386"/>
      <c r="J29" s="387"/>
      <c r="K29" s="388"/>
      <c r="L29" s="389"/>
      <c r="M29" s="403"/>
      <c r="N29" s="390"/>
      <c r="O29" s="390"/>
      <c r="P29" s="390"/>
      <c r="Q29" s="390"/>
      <c r="R29" s="390"/>
      <c r="S29" s="390"/>
      <c r="T29" s="390"/>
      <c r="U29" s="390"/>
      <c r="V29" s="390"/>
      <c r="W29" s="390"/>
      <c r="X29" s="390"/>
      <c r="Y29" s="390"/>
      <c r="Z29" s="390"/>
      <c r="AA29" s="390"/>
      <c r="AB29" s="390"/>
      <c r="AC29" s="390"/>
      <c r="AD29" s="390"/>
    </row>
    <row r="30">
      <c r="A30" s="347"/>
      <c r="B30" s="333"/>
      <c r="C30" s="323"/>
      <c r="D30" s="323"/>
      <c r="E30" s="189" t="s">
        <v>123</v>
      </c>
      <c r="F30" s="398" t="s">
        <v>124</v>
      </c>
      <c r="G30" s="392">
        <v>2850.0</v>
      </c>
      <c r="H30" s="371">
        <f t="shared" ref="H30:H32" si="5">G30/$G$29</f>
        <v>0.1496062992</v>
      </c>
      <c r="I30" s="348" t="s">
        <v>155</v>
      </c>
      <c r="J30" s="374"/>
      <c r="K30" s="375"/>
      <c r="L30" s="376"/>
      <c r="M30" s="377"/>
      <c r="N30" s="269"/>
      <c r="O30" s="269"/>
      <c r="P30" s="269"/>
      <c r="Q30" s="269"/>
      <c r="R30" s="269"/>
      <c r="S30" s="269"/>
      <c r="T30" s="269"/>
      <c r="U30" s="269"/>
      <c r="V30" s="269"/>
      <c r="W30" s="269"/>
      <c r="X30" s="269"/>
      <c r="Y30" s="269"/>
      <c r="Z30" s="269"/>
      <c r="AA30" s="269"/>
      <c r="AB30" s="269"/>
      <c r="AC30" s="269"/>
      <c r="AD30" s="269"/>
    </row>
    <row r="31">
      <c r="A31" s="347"/>
      <c r="B31" s="333"/>
      <c r="C31" s="323"/>
      <c r="D31" s="323"/>
      <c r="E31" s="189" t="s">
        <v>129</v>
      </c>
      <c r="F31" s="398" t="s">
        <v>156</v>
      </c>
      <c r="G31" s="392">
        <v>15000.0</v>
      </c>
      <c r="H31" s="371">
        <f t="shared" si="5"/>
        <v>0.7874015748</v>
      </c>
      <c r="I31" s="348" t="s">
        <v>157</v>
      </c>
      <c r="J31" s="374"/>
      <c r="K31" s="375"/>
      <c r="L31" s="376"/>
      <c r="M31" s="377"/>
      <c r="N31" s="269"/>
      <c r="O31" s="269"/>
      <c r="P31" s="269"/>
      <c r="Q31" s="269"/>
      <c r="R31" s="269"/>
      <c r="S31" s="269"/>
      <c r="T31" s="269"/>
      <c r="U31" s="269"/>
      <c r="V31" s="269"/>
      <c r="W31" s="269"/>
      <c r="X31" s="269"/>
      <c r="Y31" s="269"/>
      <c r="Z31" s="269"/>
      <c r="AA31" s="269"/>
      <c r="AB31" s="269"/>
      <c r="AC31" s="269"/>
      <c r="AD31" s="269"/>
    </row>
    <row r="32">
      <c r="A32" s="347"/>
      <c r="B32" s="333"/>
      <c r="C32" s="323"/>
      <c r="D32" s="323"/>
      <c r="E32" s="189" t="s">
        <v>132</v>
      </c>
      <c r="F32" s="400" t="s">
        <v>133</v>
      </c>
      <c r="G32" s="404">
        <v>1200.0</v>
      </c>
      <c r="H32" s="371">
        <f t="shared" si="5"/>
        <v>0.06299212598</v>
      </c>
      <c r="I32" s="348" t="s">
        <v>158</v>
      </c>
      <c r="J32" s="374"/>
      <c r="K32" s="375"/>
      <c r="L32" s="376"/>
      <c r="M32" s="377"/>
      <c r="N32" s="269"/>
      <c r="O32" s="269"/>
      <c r="P32" s="269"/>
      <c r="Q32" s="269"/>
      <c r="R32" s="269"/>
      <c r="S32" s="269"/>
      <c r="T32" s="269"/>
      <c r="U32" s="269"/>
      <c r="V32" s="269"/>
      <c r="W32" s="269"/>
      <c r="X32" s="269"/>
      <c r="Y32" s="269"/>
      <c r="Z32" s="269"/>
      <c r="AA32" s="269"/>
      <c r="AB32" s="269"/>
      <c r="AC32" s="269"/>
      <c r="AD32" s="269"/>
    </row>
    <row r="33">
      <c r="A33" s="347"/>
      <c r="B33" s="380"/>
      <c r="C33" s="381" t="s">
        <v>47</v>
      </c>
      <c r="D33" s="381" t="s">
        <v>57</v>
      </c>
      <c r="E33" s="382"/>
      <c r="F33" s="383" t="s">
        <v>58</v>
      </c>
      <c r="G33" s="384">
        <f>SUM(G34:G38)</f>
        <v>18300</v>
      </c>
      <c r="H33" s="385">
        <f>G33/$G$10</f>
        <v>0.1215394295</v>
      </c>
      <c r="I33" s="386"/>
      <c r="J33" s="387"/>
      <c r="K33" s="388"/>
      <c r="L33" s="389"/>
      <c r="M33" s="403"/>
      <c r="N33" s="390"/>
      <c r="O33" s="390"/>
      <c r="P33" s="390"/>
      <c r="Q33" s="390"/>
      <c r="R33" s="390"/>
      <c r="S33" s="390"/>
      <c r="T33" s="390"/>
      <c r="U33" s="390"/>
      <c r="V33" s="390"/>
      <c r="W33" s="390"/>
      <c r="X33" s="390"/>
      <c r="Y33" s="390"/>
      <c r="Z33" s="390"/>
      <c r="AA33" s="390"/>
      <c r="AB33" s="390"/>
      <c r="AC33" s="390"/>
      <c r="AD33" s="390"/>
    </row>
    <row r="34">
      <c r="A34" s="347"/>
      <c r="B34" s="333"/>
      <c r="C34" s="323"/>
      <c r="D34" s="323"/>
      <c r="E34" s="405" t="s">
        <v>143</v>
      </c>
      <c r="F34" s="406" t="s">
        <v>144</v>
      </c>
      <c r="G34" s="392">
        <v>6080.0</v>
      </c>
      <c r="H34" s="371">
        <f t="shared" ref="H34:H38" si="6">G34/$G$33</f>
        <v>0.3322404372</v>
      </c>
      <c r="I34" s="406" t="s">
        <v>159</v>
      </c>
      <c r="J34" s="374"/>
      <c r="K34" s="269"/>
      <c r="L34" s="269"/>
      <c r="M34" s="269"/>
      <c r="N34" s="269"/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269"/>
      <c r="AA34" s="269"/>
      <c r="AB34" s="269"/>
      <c r="AC34" s="269"/>
      <c r="AD34" s="269"/>
    </row>
    <row r="35">
      <c r="A35" s="347"/>
      <c r="B35" s="333"/>
      <c r="C35" s="323"/>
      <c r="D35" s="323"/>
      <c r="E35" s="405" t="s">
        <v>148</v>
      </c>
      <c r="G35" s="392">
        <v>4000.0</v>
      </c>
      <c r="H35" s="371">
        <f t="shared" si="6"/>
        <v>0.218579235</v>
      </c>
      <c r="I35" s="406" t="s">
        <v>160</v>
      </c>
      <c r="J35" s="374"/>
      <c r="K35" s="375"/>
      <c r="L35" s="376"/>
      <c r="M35" s="269"/>
      <c r="N35" s="269"/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69"/>
      <c r="Z35" s="269"/>
      <c r="AA35" s="269"/>
      <c r="AB35" s="269"/>
      <c r="AC35" s="269"/>
      <c r="AD35" s="269"/>
    </row>
    <row r="36">
      <c r="A36" s="347"/>
      <c r="B36" s="333"/>
      <c r="C36" s="323"/>
      <c r="D36" s="323"/>
      <c r="E36" s="405" t="s">
        <v>129</v>
      </c>
      <c r="F36" s="407" t="s">
        <v>130</v>
      </c>
      <c r="G36" s="392">
        <v>240.0</v>
      </c>
      <c r="H36" s="371">
        <f t="shared" si="6"/>
        <v>0.0131147541</v>
      </c>
      <c r="I36" s="406" t="s">
        <v>161</v>
      </c>
      <c r="J36" s="374"/>
      <c r="K36" s="408"/>
      <c r="L36" s="376"/>
      <c r="M36" s="269"/>
      <c r="N36" s="269"/>
      <c r="O36" s="269"/>
      <c r="P36" s="269"/>
      <c r="Q36" s="269"/>
      <c r="R36" s="269"/>
      <c r="S36" s="269"/>
      <c r="T36" s="269"/>
      <c r="U36" s="269"/>
      <c r="V36" s="269"/>
      <c r="W36" s="269"/>
      <c r="X36" s="269"/>
      <c r="Y36" s="269"/>
      <c r="Z36" s="269"/>
      <c r="AA36" s="269"/>
      <c r="AB36" s="269"/>
      <c r="AC36" s="269"/>
      <c r="AD36" s="269"/>
    </row>
    <row r="37">
      <c r="A37" s="347"/>
      <c r="B37" s="333"/>
      <c r="C37" s="323"/>
      <c r="D37" s="323"/>
      <c r="E37" s="409" t="s">
        <v>140</v>
      </c>
      <c r="F37" s="407" t="s">
        <v>141</v>
      </c>
      <c r="G37" s="392">
        <v>7500.0</v>
      </c>
      <c r="H37" s="371">
        <f t="shared" si="6"/>
        <v>0.4098360656</v>
      </c>
      <c r="I37" s="406" t="s">
        <v>162</v>
      </c>
      <c r="J37" s="374"/>
      <c r="K37" s="408"/>
      <c r="L37" s="376"/>
      <c r="M37" s="269"/>
      <c r="N37" s="269"/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9"/>
      <c r="Z37" s="269"/>
      <c r="AA37" s="269"/>
      <c r="AB37" s="269"/>
      <c r="AC37" s="269"/>
      <c r="AD37" s="269"/>
    </row>
    <row r="38">
      <c r="A38" s="347"/>
      <c r="B38" s="333"/>
      <c r="C38" s="323"/>
      <c r="D38" s="323"/>
      <c r="E38" s="405" t="s">
        <v>135</v>
      </c>
      <c r="F38" s="391" t="s">
        <v>136</v>
      </c>
      <c r="G38" s="392">
        <v>480.0</v>
      </c>
      <c r="H38" s="371">
        <f t="shared" si="6"/>
        <v>0.0262295082</v>
      </c>
      <c r="I38" s="406" t="s">
        <v>163</v>
      </c>
      <c r="J38" s="374"/>
      <c r="K38" s="408"/>
      <c r="L38" s="376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  <c r="AB38" s="269"/>
      <c r="AC38" s="269"/>
      <c r="AD38" s="269"/>
    </row>
    <row r="39">
      <c r="A39" s="347"/>
      <c r="B39" s="393"/>
      <c r="C39" s="394" t="s">
        <v>59</v>
      </c>
      <c r="D39" s="394" t="s">
        <v>59</v>
      </c>
      <c r="E39" s="395"/>
      <c r="F39" s="363" t="s">
        <v>60</v>
      </c>
      <c r="G39" s="364">
        <f>(G11+G17+G20+G24+G29+G33)/95*5</f>
        <v>7528.421053</v>
      </c>
      <c r="H39" s="365">
        <f>G39/$G$10</f>
        <v>0.05</v>
      </c>
      <c r="I39" s="410" t="s">
        <v>164</v>
      </c>
      <c r="J39" s="411"/>
      <c r="K39" s="412"/>
      <c r="L39" s="412"/>
      <c r="M39" s="412"/>
      <c r="N39" s="412"/>
      <c r="O39" s="412"/>
      <c r="P39" s="412"/>
      <c r="Q39" s="412"/>
      <c r="R39" s="412"/>
      <c r="S39" s="412"/>
      <c r="T39" s="412"/>
      <c r="U39" s="412"/>
      <c r="V39" s="412"/>
      <c r="W39" s="412"/>
      <c r="X39" s="412"/>
      <c r="Y39" s="412"/>
      <c r="Z39" s="412"/>
      <c r="AA39" s="412"/>
      <c r="AB39" s="412"/>
      <c r="AC39" s="412"/>
      <c r="AD39" s="412"/>
    </row>
    <row r="40">
      <c r="A40" s="347"/>
      <c r="B40" s="333"/>
      <c r="C40" s="323"/>
      <c r="D40" s="323"/>
      <c r="E40" s="223"/>
      <c r="F40" s="369"/>
      <c r="G40" s="370"/>
      <c r="H40" s="371"/>
      <c r="I40" s="406"/>
      <c r="J40" s="374"/>
      <c r="K40" s="375"/>
      <c r="L40" s="376"/>
      <c r="M40" s="377"/>
      <c r="N40" s="269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269"/>
      <c r="AA40" s="269"/>
      <c r="AB40" s="269"/>
      <c r="AC40" s="269"/>
      <c r="AD40" s="269"/>
    </row>
    <row r="41">
      <c r="A41" s="413"/>
      <c r="B41" s="414"/>
      <c r="C41" s="414"/>
      <c r="D41" s="414"/>
      <c r="E41" s="415"/>
      <c r="F41" s="416"/>
      <c r="G41" s="417"/>
      <c r="H41" s="418"/>
      <c r="I41" s="416"/>
      <c r="J41" s="419"/>
      <c r="K41" s="420"/>
      <c r="L41" s="420"/>
      <c r="M41" s="420"/>
      <c r="N41" s="420"/>
      <c r="O41" s="420"/>
      <c r="P41" s="420"/>
      <c r="Q41" s="420"/>
      <c r="R41" s="420"/>
      <c r="S41" s="420"/>
      <c r="T41" s="420"/>
      <c r="U41" s="420"/>
      <c r="V41" s="420"/>
      <c r="W41" s="420"/>
      <c r="X41" s="420"/>
      <c r="Y41" s="420"/>
      <c r="Z41" s="420"/>
      <c r="AA41" s="420"/>
      <c r="AB41" s="420"/>
      <c r="AC41" s="420"/>
      <c r="AD41" s="420"/>
    </row>
    <row r="42">
      <c r="A42" s="350"/>
      <c r="B42" s="351" t="s">
        <v>49</v>
      </c>
      <c r="C42" s="351" t="s">
        <v>47</v>
      </c>
      <c r="D42" s="351" t="s">
        <v>47</v>
      </c>
      <c r="E42" s="352"/>
      <c r="F42" s="353" t="s">
        <v>18</v>
      </c>
      <c r="G42" s="421">
        <f>G43+G51</f>
        <v>52684.21053</v>
      </c>
      <c r="H42" s="355">
        <f>G42/$G$8</f>
        <v>0.04450074191</v>
      </c>
      <c r="I42" s="353"/>
      <c r="J42" s="357"/>
      <c r="K42" s="358"/>
      <c r="L42" s="358"/>
      <c r="M42" s="358"/>
      <c r="N42" s="358"/>
      <c r="O42" s="358"/>
      <c r="P42" s="358"/>
      <c r="Q42" s="358"/>
      <c r="R42" s="358"/>
      <c r="S42" s="358"/>
      <c r="T42" s="358"/>
      <c r="U42" s="358"/>
      <c r="V42" s="358"/>
      <c r="W42" s="358"/>
      <c r="X42" s="358"/>
      <c r="Y42" s="358"/>
      <c r="Z42" s="358"/>
      <c r="AA42" s="358"/>
      <c r="AB42" s="358"/>
      <c r="AC42" s="358"/>
      <c r="AD42" s="358"/>
    </row>
    <row r="43">
      <c r="A43" s="347"/>
      <c r="B43" s="394"/>
      <c r="C43" s="394" t="s">
        <v>47</v>
      </c>
      <c r="D43" s="394" t="s">
        <v>46</v>
      </c>
      <c r="E43" s="395"/>
      <c r="F43" s="396" t="s">
        <v>48</v>
      </c>
      <c r="G43" s="422">
        <f>SUM(G44:G50)</f>
        <v>50050</v>
      </c>
      <c r="H43" s="365">
        <f>G43/$G$42</f>
        <v>0.95</v>
      </c>
      <c r="I43" s="366"/>
      <c r="J43" s="423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</row>
    <row r="44">
      <c r="A44" s="347"/>
      <c r="B44" s="323"/>
      <c r="C44" s="323"/>
      <c r="D44" s="323"/>
      <c r="E44" s="223" t="s">
        <v>123</v>
      </c>
      <c r="F44" s="348" t="s">
        <v>124</v>
      </c>
      <c r="G44" s="404">
        <v>10450.0</v>
      </c>
      <c r="H44" s="371">
        <f t="shared" ref="H44:H50" si="7">G44/$G$43</f>
        <v>0.2087912088</v>
      </c>
      <c r="I44" s="372" t="s">
        <v>165</v>
      </c>
      <c r="J44" s="425"/>
      <c r="K44" s="426"/>
      <c r="L44" s="426"/>
      <c r="M44" s="426"/>
      <c r="N44" s="426"/>
      <c r="O44" s="426"/>
      <c r="P44" s="426"/>
      <c r="Q44" s="426"/>
      <c r="R44" s="426"/>
      <c r="S44" s="426"/>
      <c r="T44" s="426"/>
      <c r="U44" s="426"/>
      <c r="V44" s="426"/>
      <c r="W44" s="426"/>
      <c r="X44" s="426"/>
      <c r="Y44" s="426"/>
      <c r="Z44" s="426"/>
      <c r="AA44" s="426"/>
      <c r="AB44" s="426"/>
      <c r="AC44" s="426"/>
      <c r="AD44" s="426"/>
    </row>
    <row r="45">
      <c r="A45" s="347"/>
      <c r="B45" s="323"/>
      <c r="C45" s="323"/>
      <c r="D45" s="323"/>
      <c r="E45" s="223" t="s">
        <v>126</v>
      </c>
      <c r="F45" s="348" t="s">
        <v>127</v>
      </c>
      <c r="G45" s="427">
        <v>5000.0</v>
      </c>
      <c r="H45" s="371">
        <f t="shared" si="7"/>
        <v>0.0999000999</v>
      </c>
      <c r="I45" s="348" t="s">
        <v>166</v>
      </c>
      <c r="J45" s="337"/>
      <c r="K45" s="233"/>
      <c r="L45" s="233"/>
      <c r="M45" s="233"/>
      <c r="N45" s="233"/>
      <c r="O45" s="233"/>
      <c r="P45" s="233"/>
      <c r="Q45" s="233"/>
      <c r="R45" s="233"/>
      <c r="S45" s="233"/>
      <c r="T45" s="233"/>
      <c r="U45" s="233"/>
      <c r="V45" s="233"/>
      <c r="W45" s="233"/>
      <c r="X45" s="233"/>
      <c r="Y45" s="233"/>
      <c r="Z45" s="233"/>
      <c r="AA45" s="233"/>
      <c r="AB45" s="233"/>
      <c r="AC45" s="233"/>
      <c r="AD45" s="233"/>
    </row>
    <row r="46" ht="17.25" customHeight="1">
      <c r="A46" s="347"/>
      <c r="B46" s="323"/>
      <c r="C46" s="323"/>
      <c r="D46" s="323"/>
      <c r="E46" s="225" t="s">
        <v>167</v>
      </c>
      <c r="F46" s="428" t="s">
        <v>168</v>
      </c>
      <c r="G46" s="404">
        <v>1000.0</v>
      </c>
      <c r="H46" s="371">
        <f t="shared" si="7"/>
        <v>0.01998001998</v>
      </c>
      <c r="I46" s="429" t="s">
        <v>169</v>
      </c>
      <c r="J46" s="430"/>
      <c r="K46" s="230"/>
      <c r="L46" s="230"/>
      <c r="M46" s="230"/>
      <c r="N46" s="230"/>
      <c r="O46" s="230"/>
      <c r="P46" s="230"/>
      <c r="Q46" s="230"/>
      <c r="R46" s="230"/>
      <c r="S46" s="230"/>
      <c r="T46" s="230"/>
      <c r="U46" s="230"/>
      <c r="V46" s="230"/>
      <c r="W46" s="230"/>
      <c r="X46" s="230"/>
      <c r="Y46" s="230"/>
      <c r="Z46" s="230"/>
      <c r="AA46" s="230"/>
      <c r="AB46" s="230"/>
      <c r="AC46" s="230"/>
      <c r="AD46" s="230"/>
    </row>
    <row r="47">
      <c r="A47" s="347"/>
      <c r="B47" s="323"/>
      <c r="C47" s="323"/>
      <c r="D47" s="323"/>
      <c r="E47" s="225" t="s">
        <v>132</v>
      </c>
      <c r="F47" s="428" t="s">
        <v>133</v>
      </c>
      <c r="G47" s="404">
        <v>100.0</v>
      </c>
      <c r="H47" s="371">
        <f t="shared" si="7"/>
        <v>0.001998001998</v>
      </c>
      <c r="I47" s="429" t="s">
        <v>170</v>
      </c>
      <c r="J47" s="337"/>
      <c r="K47" s="233"/>
      <c r="L47" s="233"/>
      <c r="M47" s="233"/>
      <c r="N47" s="233"/>
      <c r="O47" s="233"/>
      <c r="P47" s="233"/>
      <c r="Q47" s="233"/>
      <c r="R47" s="233"/>
      <c r="S47" s="233"/>
      <c r="T47" s="233"/>
      <c r="U47" s="233"/>
      <c r="V47" s="233"/>
      <c r="W47" s="233"/>
      <c r="X47" s="233"/>
      <c r="Y47" s="233"/>
      <c r="Z47" s="233"/>
      <c r="AA47" s="233"/>
      <c r="AB47" s="233"/>
      <c r="AC47" s="233"/>
      <c r="AD47" s="233"/>
    </row>
    <row r="48">
      <c r="A48" s="347"/>
      <c r="B48" s="323"/>
      <c r="C48" s="323"/>
      <c r="D48" s="323"/>
      <c r="E48" s="225" t="s">
        <v>140</v>
      </c>
      <c r="F48" s="428" t="s">
        <v>141</v>
      </c>
      <c r="G48" s="431">
        <v>30000.0</v>
      </c>
      <c r="H48" s="371">
        <f t="shared" si="7"/>
        <v>0.5994005994</v>
      </c>
      <c r="I48" s="432" t="s">
        <v>171</v>
      </c>
      <c r="J48" s="337"/>
      <c r="K48" s="233"/>
      <c r="L48" s="233"/>
      <c r="M48" s="233"/>
      <c r="N48" s="233"/>
      <c r="O48" s="233"/>
      <c r="P48" s="233"/>
      <c r="Q48" s="233"/>
      <c r="R48" s="233"/>
      <c r="S48" s="233"/>
      <c r="T48" s="233"/>
      <c r="U48" s="233"/>
      <c r="V48" s="233"/>
      <c r="W48" s="233"/>
      <c r="X48" s="233"/>
      <c r="Y48" s="233"/>
      <c r="Z48" s="233"/>
      <c r="AA48" s="233"/>
      <c r="AB48" s="233"/>
      <c r="AC48" s="233"/>
      <c r="AD48" s="233"/>
    </row>
    <row r="49">
      <c r="A49" s="347"/>
      <c r="B49" s="323"/>
      <c r="C49" s="323"/>
      <c r="D49" s="323"/>
      <c r="E49" s="225" t="s">
        <v>135</v>
      </c>
      <c r="F49" s="428" t="s">
        <v>136</v>
      </c>
      <c r="G49" s="431">
        <v>500.0</v>
      </c>
      <c r="H49" s="371">
        <f t="shared" si="7"/>
        <v>0.00999000999</v>
      </c>
      <c r="I49" s="433" t="s">
        <v>172</v>
      </c>
      <c r="J49" s="337"/>
      <c r="K49" s="233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  <c r="AA49" s="233"/>
      <c r="AB49" s="233"/>
      <c r="AC49" s="233"/>
      <c r="AD49" s="233"/>
    </row>
    <row r="50">
      <c r="A50" s="347"/>
      <c r="B50" s="323"/>
      <c r="C50" s="323"/>
      <c r="D50" s="323"/>
      <c r="E50" s="225" t="s">
        <v>173</v>
      </c>
      <c r="F50" s="428" t="s">
        <v>174</v>
      </c>
      <c r="G50" s="431">
        <v>3000.0</v>
      </c>
      <c r="H50" s="371">
        <f t="shared" si="7"/>
        <v>0.05994005994</v>
      </c>
      <c r="I50" s="432" t="s">
        <v>175</v>
      </c>
      <c r="J50" s="337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  <c r="AA50" s="233"/>
      <c r="AB50" s="233"/>
      <c r="AC50" s="233"/>
      <c r="AD50" s="233"/>
    </row>
    <row r="51">
      <c r="A51" s="347"/>
      <c r="B51" s="394"/>
      <c r="C51" s="394" t="s">
        <v>59</v>
      </c>
      <c r="D51" s="394" t="s">
        <v>59</v>
      </c>
      <c r="E51" s="395"/>
      <c r="F51" s="396" t="s">
        <v>60</v>
      </c>
      <c r="G51" s="422">
        <f>(G43)/0.95*0.05</f>
        <v>2634.210526</v>
      </c>
      <c r="H51" s="365">
        <f>G51/$G$42</f>
        <v>0.05</v>
      </c>
      <c r="I51" s="410" t="s">
        <v>164</v>
      </c>
      <c r="J51" s="423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</row>
    <row r="52">
      <c r="A52" s="347"/>
      <c r="B52" s="323"/>
      <c r="C52" s="323"/>
      <c r="D52" s="323"/>
      <c r="E52" s="223"/>
      <c r="F52" s="348"/>
      <c r="G52" s="434"/>
      <c r="H52" s="435"/>
      <c r="I52" s="348"/>
      <c r="J52" s="337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</row>
    <row r="53">
      <c r="A53" s="347"/>
      <c r="B53" s="333"/>
      <c r="C53" s="323"/>
      <c r="D53" s="323"/>
      <c r="E53" s="223"/>
      <c r="F53" s="369"/>
      <c r="G53" s="370"/>
      <c r="H53" s="371"/>
      <c r="I53" s="372"/>
      <c r="J53" s="374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  <c r="AA53" s="269"/>
      <c r="AB53" s="269"/>
      <c r="AC53" s="269"/>
      <c r="AD53" s="269"/>
    </row>
    <row r="54">
      <c r="A54" s="350"/>
      <c r="B54" s="351" t="s">
        <v>51</v>
      </c>
      <c r="C54" s="351" t="s">
        <v>47</v>
      </c>
      <c r="D54" s="351" t="s">
        <v>47</v>
      </c>
      <c r="E54" s="352"/>
      <c r="F54" s="353" t="s">
        <v>19</v>
      </c>
      <c r="G54" s="421">
        <f>G55+G62</f>
        <v>22905</v>
      </c>
      <c r="H54" s="355">
        <f>G54/$G$8</f>
        <v>0.01934715322</v>
      </c>
      <c r="I54" s="353"/>
      <c r="J54" s="357"/>
      <c r="K54" s="358"/>
      <c r="L54" s="358"/>
      <c r="M54" s="358"/>
      <c r="N54" s="358"/>
      <c r="O54" s="358"/>
      <c r="P54" s="358"/>
      <c r="Q54" s="358"/>
      <c r="R54" s="358"/>
      <c r="S54" s="358"/>
      <c r="T54" s="358"/>
      <c r="U54" s="358"/>
      <c r="V54" s="358"/>
      <c r="W54" s="358"/>
      <c r="X54" s="358"/>
      <c r="Y54" s="358"/>
      <c r="Z54" s="358"/>
      <c r="AA54" s="358"/>
      <c r="AB54" s="358"/>
      <c r="AC54" s="358"/>
      <c r="AD54" s="358"/>
    </row>
    <row r="55">
      <c r="A55" s="347"/>
      <c r="B55" s="394"/>
      <c r="C55" s="394" t="s">
        <v>47</v>
      </c>
      <c r="D55" s="394" t="s">
        <v>46</v>
      </c>
      <c r="E55" s="395"/>
      <c r="F55" s="396" t="s">
        <v>48</v>
      </c>
      <c r="G55" s="422">
        <f>G56+G59+G60+G61</f>
        <v>21760</v>
      </c>
      <c r="H55" s="365">
        <f>G55/$G$54</f>
        <v>0.9500109146</v>
      </c>
      <c r="I55" s="366"/>
      <c r="J55" s="436"/>
      <c r="K55" s="437"/>
      <c r="L55" s="437"/>
      <c r="M55" s="437"/>
      <c r="N55" s="437"/>
      <c r="O55" s="437"/>
      <c r="P55" s="437"/>
      <c r="Q55" s="437"/>
      <c r="R55" s="437"/>
      <c r="S55" s="437"/>
      <c r="T55" s="437"/>
      <c r="U55" s="437"/>
      <c r="V55" s="437"/>
      <c r="W55" s="437"/>
      <c r="X55" s="437"/>
      <c r="Y55" s="437"/>
      <c r="Z55" s="437"/>
      <c r="AA55" s="437"/>
      <c r="AB55" s="437"/>
      <c r="AC55" s="437"/>
      <c r="AD55" s="437"/>
    </row>
    <row r="56">
      <c r="A56" s="347"/>
      <c r="B56" s="323"/>
      <c r="C56" s="323"/>
      <c r="D56" s="323"/>
      <c r="E56" s="223" t="s">
        <v>123</v>
      </c>
      <c r="F56" s="348" t="s">
        <v>124</v>
      </c>
      <c r="G56" s="434">
        <v>15960.0</v>
      </c>
      <c r="H56" s="371">
        <f>G56/$G$55</f>
        <v>0.7334558824</v>
      </c>
      <c r="I56" s="348" t="s">
        <v>176</v>
      </c>
      <c r="J56" s="374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  <c r="X56" s="269"/>
      <c r="Y56" s="269"/>
      <c r="Z56" s="269"/>
      <c r="AA56" s="269"/>
      <c r="AB56" s="269"/>
      <c r="AC56" s="269"/>
      <c r="AD56" s="269"/>
    </row>
    <row r="57">
      <c r="A57" s="347"/>
      <c r="B57" s="323"/>
      <c r="C57" s="323"/>
      <c r="D57" s="323"/>
      <c r="E57" s="223"/>
      <c r="F57" s="348"/>
      <c r="G57" s="434"/>
      <c r="H57" s="336"/>
      <c r="I57" s="348" t="s">
        <v>177</v>
      </c>
      <c r="J57" s="438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230"/>
      <c r="X57" s="230"/>
      <c r="Y57" s="230"/>
      <c r="Z57" s="230"/>
      <c r="AA57" s="230"/>
      <c r="AB57" s="230"/>
      <c r="AC57" s="230"/>
      <c r="AD57" s="230"/>
    </row>
    <row r="58">
      <c r="A58" s="347"/>
      <c r="B58" s="323"/>
      <c r="C58" s="323"/>
      <c r="D58" s="323"/>
      <c r="E58" s="223"/>
      <c r="F58" s="348"/>
      <c r="G58" s="434"/>
      <c r="H58" s="336"/>
      <c r="I58" s="372" t="s">
        <v>178</v>
      </c>
      <c r="J58" s="438"/>
      <c r="K58" s="230"/>
      <c r="L58" s="230"/>
      <c r="M58" s="230"/>
      <c r="N58" s="230"/>
      <c r="O58" s="230"/>
      <c r="P58" s="230"/>
      <c r="Q58" s="230"/>
      <c r="R58" s="230"/>
      <c r="S58" s="230"/>
      <c r="T58" s="230"/>
      <c r="U58" s="230"/>
      <c r="V58" s="230"/>
      <c r="W58" s="230"/>
      <c r="X58" s="230"/>
      <c r="Y58" s="230"/>
      <c r="Z58" s="230"/>
      <c r="AA58" s="230"/>
      <c r="AB58" s="230"/>
      <c r="AC58" s="230"/>
      <c r="AD58" s="230"/>
    </row>
    <row r="59">
      <c r="A59" s="347"/>
      <c r="B59" s="323"/>
      <c r="C59" s="323"/>
      <c r="D59" s="323"/>
      <c r="E59" s="223" t="s">
        <v>126</v>
      </c>
      <c r="F59" s="348" t="s">
        <v>127</v>
      </c>
      <c r="G59" s="434">
        <v>5000.0</v>
      </c>
      <c r="H59" s="371">
        <f t="shared" ref="H59:H61" si="8">G59/$G$55</f>
        <v>0.2297794118</v>
      </c>
      <c r="I59" s="439" t="s">
        <v>179</v>
      </c>
      <c r="J59" s="374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69"/>
      <c r="X59" s="269"/>
      <c r="Y59" s="269"/>
      <c r="Z59" s="269"/>
      <c r="AA59" s="269"/>
      <c r="AB59" s="269"/>
      <c r="AC59" s="269"/>
      <c r="AD59" s="269"/>
    </row>
    <row r="60">
      <c r="A60" s="347"/>
      <c r="B60" s="323"/>
      <c r="C60" s="323"/>
      <c r="D60" s="323"/>
      <c r="E60" s="223" t="s">
        <v>180</v>
      </c>
      <c r="F60" s="348" t="s">
        <v>181</v>
      </c>
      <c r="G60" s="434">
        <v>300.0</v>
      </c>
      <c r="H60" s="371">
        <f t="shared" si="8"/>
        <v>0.01378676471</v>
      </c>
      <c r="I60" s="439" t="s">
        <v>182</v>
      </c>
      <c r="J60" s="374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  <c r="AA60" s="269"/>
      <c r="AB60" s="269"/>
      <c r="AC60" s="269"/>
      <c r="AD60" s="269"/>
    </row>
    <row r="61">
      <c r="A61" s="347"/>
      <c r="B61" s="323"/>
      <c r="C61" s="323"/>
      <c r="D61" s="323"/>
      <c r="E61" s="223" t="s">
        <v>135</v>
      </c>
      <c r="F61" s="348" t="s">
        <v>136</v>
      </c>
      <c r="G61" s="434">
        <v>500.0</v>
      </c>
      <c r="H61" s="371">
        <f t="shared" si="8"/>
        <v>0.02297794118</v>
      </c>
      <c r="I61" s="439" t="s">
        <v>172</v>
      </c>
      <c r="J61" s="374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  <c r="X61" s="269"/>
      <c r="Y61" s="269"/>
      <c r="Z61" s="269"/>
      <c r="AA61" s="269"/>
      <c r="AB61" s="269"/>
      <c r="AC61" s="269"/>
      <c r="AD61" s="269"/>
    </row>
    <row r="62">
      <c r="A62" s="347"/>
      <c r="B62" s="381"/>
      <c r="C62" s="381" t="s">
        <v>59</v>
      </c>
      <c r="D62" s="381" t="s">
        <v>59</v>
      </c>
      <c r="E62" s="382"/>
      <c r="F62" s="410" t="s">
        <v>60</v>
      </c>
      <c r="G62" s="440">
        <f>ROUND(G55/95*5,0)</f>
        <v>1145</v>
      </c>
      <c r="H62" s="385">
        <f>G62/$G$54</f>
        <v>0.04998908535</v>
      </c>
      <c r="I62" s="410" t="s">
        <v>164</v>
      </c>
      <c r="J62" s="387"/>
      <c r="K62" s="390"/>
      <c r="L62" s="390"/>
      <c r="M62" s="390"/>
      <c r="N62" s="390"/>
      <c r="O62" s="390"/>
      <c r="P62" s="390"/>
      <c r="Q62" s="390"/>
      <c r="R62" s="390"/>
      <c r="S62" s="390"/>
      <c r="T62" s="390"/>
      <c r="U62" s="390"/>
      <c r="V62" s="390"/>
      <c r="W62" s="390"/>
      <c r="X62" s="390"/>
      <c r="Y62" s="390"/>
      <c r="Z62" s="390"/>
      <c r="AA62" s="390"/>
      <c r="AB62" s="390"/>
      <c r="AC62" s="390"/>
      <c r="AD62" s="390"/>
    </row>
    <row r="63">
      <c r="A63" s="347"/>
      <c r="B63" s="323"/>
      <c r="C63" s="323"/>
      <c r="D63" s="323"/>
      <c r="E63" s="223"/>
      <c r="F63" s="348"/>
      <c r="G63" s="434"/>
      <c r="H63" s="336"/>
      <c r="I63" s="348"/>
      <c r="J63" s="374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69"/>
      <c r="W63" s="269"/>
      <c r="X63" s="269"/>
      <c r="Y63" s="269"/>
      <c r="Z63" s="269"/>
      <c r="AA63" s="269"/>
      <c r="AB63" s="269"/>
      <c r="AC63" s="269"/>
      <c r="AD63" s="269"/>
    </row>
    <row r="64">
      <c r="A64" s="347"/>
      <c r="B64" s="323"/>
      <c r="C64" s="323"/>
      <c r="D64" s="323"/>
      <c r="E64" s="223"/>
      <c r="F64" s="348"/>
      <c r="G64" s="434"/>
      <c r="H64" s="336"/>
      <c r="I64" s="336"/>
      <c r="J64" s="374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 s="269"/>
      <c r="W64" s="269"/>
      <c r="X64" s="269"/>
      <c r="Y64" s="269"/>
      <c r="Z64" s="269"/>
      <c r="AA64" s="269"/>
      <c r="AB64" s="269"/>
      <c r="AC64" s="269"/>
      <c r="AD64" s="269"/>
    </row>
    <row r="65">
      <c r="A65" s="350"/>
      <c r="B65" s="351" t="s">
        <v>53</v>
      </c>
      <c r="C65" s="351" t="s">
        <v>47</v>
      </c>
      <c r="D65" s="351" t="s">
        <v>47</v>
      </c>
      <c r="E65" s="352"/>
      <c r="F65" s="353" t="s">
        <v>20</v>
      </c>
      <c r="G65" s="421">
        <f>G66+G70</f>
        <v>33789.47368</v>
      </c>
      <c r="H65" s="355">
        <f>G65/$G$8</f>
        <v>0.02854093537</v>
      </c>
      <c r="I65" s="353"/>
      <c r="J65" s="357"/>
      <c r="K65" s="358"/>
      <c r="L65" s="358"/>
      <c r="M65" s="358"/>
      <c r="N65" s="358"/>
      <c r="O65" s="358"/>
      <c r="P65" s="358"/>
      <c r="Q65" s="358"/>
      <c r="R65" s="358"/>
      <c r="S65" s="358"/>
      <c r="T65" s="358"/>
      <c r="U65" s="358"/>
      <c r="V65" s="358"/>
      <c r="W65" s="358"/>
      <c r="X65" s="358"/>
      <c r="Y65" s="358"/>
      <c r="Z65" s="358"/>
      <c r="AA65" s="358"/>
      <c r="AB65" s="358"/>
      <c r="AC65" s="358"/>
      <c r="AD65" s="358"/>
    </row>
    <row r="66">
      <c r="A66" s="347"/>
      <c r="B66" s="381"/>
      <c r="C66" s="381" t="s">
        <v>47</v>
      </c>
      <c r="D66" s="381" t="s">
        <v>46</v>
      </c>
      <c r="E66" s="382"/>
      <c r="F66" s="410" t="s">
        <v>48</v>
      </c>
      <c r="G66" s="440">
        <f>SUM(G67:G69)</f>
        <v>32100</v>
      </c>
      <c r="H66" s="385">
        <f>G66/$G$65</f>
        <v>0.95</v>
      </c>
      <c r="I66" s="410"/>
      <c r="J66" s="441"/>
      <c r="K66" s="442"/>
      <c r="L66" s="442"/>
      <c r="M66" s="442"/>
      <c r="N66" s="442"/>
      <c r="O66" s="442"/>
      <c r="P66" s="442"/>
      <c r="Q66" s="442"/>
      <c r="R66" s="442"/>
      <c r="S66" s="442"/>
      <c r="T66" s="442"/>
      <c r="U66" s="442"/>
      <c r="V66" s="442"/>
      <c r="W66" s="442"/>
      <c r="X66" s="442"/>
      <c r="Y66" s="442"/>
      <c r="Z66" s="442"/>
      <c r="AA66" s="442"/>
      <c r="AB66" s="442"/>
      <c r="AC66" s="442"/>
      <c r="AD66" s="442"/>
    </row>
    <row r="67">
      <c r="A67" s="347"/>
      <c r="B67" s="323"/>
      <c r="C67" s="323"/>
      <c r="D67" s="323"/>
      <c r="E67" s="225" t="s">
        <v>123</v>
      </c>
      <c r="F67" s="391" t="s">
        <v>124</v>
      </c>
      <c r="G67" s="434">
        <v>26600.0</v>
      </c>
      <c r="H67" s="371">
        <f t="shared" ref="H67:H69" si="9">G67/$G$66</f>
        <v>0.8286604361</v>
      </c>
      <c r="I67" s="372" t="s">
        <v>183</v>
      </c>
      <c r="J67" s="443"/>
      <c r="K67" s="444"/>
      <c r="L67" s="444"/>
      <c r="M67" s="444"/>
      <c r="N67" s="444"/>
      <c r="O67" s="444"/>
      <c r="P67" s="444"/>
      <c r="Q67" s="444"/>
      <c r="R67" s="444"/>
      <c r="S67" s="444"/>
      <c r="T67" s="444"/>
      <c r="U67" s="444"/>
      <c r="V67" s="444"/>
      <c r="W67" s="444"/>
      <c r="X67" s="444"/>
      <c r="Y67" s="444"/>
      <c r="Z67" s="444"/>
      <c r="AA67" s="444"/>
      <c r="AB67" s="444"/>
      <c r="AC67" s="444"/>
      <c r="AD67" s="444"/>
    </row>
    <row r="68">
      <c r="A68" s="347"/>
      <c r="B68" s="323"/>
      <c r="C68" s="323"/>
      <c r="D68" s="323"/>
      <c r="E68" s="445" t="s">
        <v>126</v>
      </c>
      <c r="F68" s="446" t="s">
        <v>127</v>
      </c>
      <c r="G68" s="447">
        <v>5000.0</v>
      </c>
      <c r="H68" s="371">
        <f t="shared" si="9"/>
        <v>0.1557632399</v>
      </c>
      <c r="I68" s="433" t="s">
        <v>179</v>
      </c>
      <c r="J68" s="374"/>
      <c r="K68" s="269"/>
      <c r="L68" s="269"/>
      <c r="M68" s="269"/>
      <c r="N68" s="269"/>
      <c r="O68" s="269"/>
      <c r="P68" s="269"/>
      <c r="Q68" s="269"/>
      <c r="R68" s="269"/>
      <c r="S68" s="269"/>
      <c r="T68" s="269"/>
      <c r="U68" s="269"/>
      <c r="V68" s="269"/>
      <c r="W68" s="269"/>
      <c r="X68" s="269"/>
      <c r="Y68" s="269"/>
      <c r="Z68" s="269"/>
      <c r="AA68" s="269"/>
      <c r="AB68" s="269"/>
      <c r="AC68" s="269"/>
      <c r="AD68" s="269"/>
    </row>
    <row r="69">
      <c r="A69" s="347"/>
      <c r="B69" s="323"/>
      <c r="C69" s="323"/>
      <c r="D69" s="323"/>
      <c r="E69" s="225" t="s">
        <v>135</v>
      </c>
      <c r="F69" s="391" t="s">
        <v>136</v>
      </c>
      <c r="G69" s="448">
        <v>500.0</v>
      </c>
      <c r="H69" s="371">
        <f t="shared" si="9"/>
        <v>0.01557632399</v>
      </c>
      <c r="I69" s="433" t="s">
        <v>172</v>
      </c>
      <c r="J69" s="449"/>
      <c r="K69" s="450"/>
      <c r="L69" s="450"/>
      <c r="M69" s="450"/>
      <c r="N69" s="450"/>
      <c r="O69" s="450"/>
      <c r="P69" s="450"/>
      <c r="Q69" s="450"/>
      <c r="R69" s="450"/>
      <c r="S69" s="450"/>
      <c r="T69" s="450"/>
      <c r="U69" s="450"/>
      <c r="V69" s="450"/>
      <c r="W69" s="450"/>
      <c r="X69" s="450"/>
      <c r="Y69" s="450"/>
      <c r="Z69" s="450"/>
      <c r="AA69" s="450"/>
      <c r="AB69" s="450"/>
      <c r="AC69" s="450"/>
      <c r="AD69" s="450"/>
    </row>
    <row r="70">
      <c r="A70" s="347"/>
      <c r="B70" s="381"/>
      <c r="C70" s="381" t="s">
        <v>59</v>
      </c>
      <c r="D70" s="381" t="s">
        <v>59</v>
      </c>
      <c r="E70" s="382"/>
      <c r="F70" s="410" t="s">
        <v>60</v>
      </c>
      <c r="G70" s="440">
        <f>(G66)/0.95*0.05</f>
        <v>1689.473684</v>
      </c>
      <c r="H70" s="385">
        <f>G70/G65</f>
        <v>0.05</v>
      </c>
      <c r="I70" s="410"/>
      <c r="J70" s="451"/>
      <c r="K70" s="452"/>
      <c r="L70" s="452"/>
      <c r="M70" s="452"/>
      <c r="N70" s="452"/>
      <c r="O70" s="452"/>
      <c r="P70" s="452"/>
      <c r="Q70" s="452"/>
      <c r="R70" s="452"/>
      <c r="S70" s="452"/>
      <c r="T70" s="452"/>
      <c r="U70" s="452"/>
      <c r="V70" s="452"/>
      <c r="W70" s="452"/>
      <c r="X70" s="452"/>
      <c r="Y70" s="452"/>
      <c r="Z70" s="452"/>
      <c r="AA70" s="452"/>
      <c r="AB70" s="452"/>
      <c r="AC70" s="452"/>
      <c r="AD70" s="452"/>
    </row>
    <row r="71">
      <c r="A71" s="347"/>
      <c r="B71" s="323"/>
      <c r="C71" s="323"/>
      <c r="D71" s="323"/>
      <c r="E71" s="223"/>
      <c r="F71" s="369"/>
      <c r="G71" s="434"/>
      <c r="H71" s="371"/>
      <c r="I71" s="453"/>
      <c r="J71" s="454"/>
      <c r="K71" s="450"/>
      <c r="L71" s="450"/>
      <c r="M71" s="450"/>
      <c r="N71" s="450"/>
      <c r="O71" s="450"/>
      <c r="P71" s="450"/>
      <c r="Q71" s="450"/>
      <c r="R71" s="450"/>
      <c r="S71" s="450"/>
      <c r="T71" s="450"/>
      <c r="U71" s="450"/>
      <c r="V71" s="450"/>
      <c r="W71" s="450"/>
      <c r="X71" s="450"/>
      <c r="Y71" s="450"/>
      <c r="Z71" s="450"/>
      <c r="AA71" s="450"/>
      <c r="AB71" s="450"/>
      <c r="AC71" s="450"/>
      <c r="AD71" s="450"/>
    </row>
    <row r="72">
      <c r="A72" s="347"/>
      <c r="B72" s="323"/>
      <c r="C72" s="323"/>
      <c r="D72" s="323"/>
      <c r="E72" s="223"/>
      <c r="F72" s="348"/>
      <c r="G72" s="434"/>
      <c r="H72" s="337"/>
      <c r="I72" s="336"/>
      <c r="J72" s="298"/>
      <c r="K72" s="298"/>
      <c r="L72" s="298"/>
      <c r="M72" s="298"/>
      <c r="N72" s="298"/>
      <c r="O72" s="298"/>
      <c r="P72" s="298"/>
      <c r="Q72" s="298"/>
      <c r="R72" s="298"/>
      <c r="S72" s="298"/>
      <c r="T72" s="298"/>
      <c r="U72" s="298"/>
      <c r="V72" s="298"/>
      <c r="W72" s="298"/>
      <c r="X72" s="298"/>
      <c r="Y72" s="298"/>
      <c r="Z72" s="298"/>
      <c r="AA72" s="298"/>
      <c r="AB72" s="298"/>
      <c r="AC72" s="298"/>
      <c r="AD72" s="298"/>
    </row>
    <row r="73">
      <c r="A73" s="350"/>
      <c r="B73" s="351" t="s">
        <v>55</v>
      </c>
      <c r="C73" s="351" t="s">
        <v>47</v>
      </c>
      <c r="D73" s="351" t="s">
        <v>47</v>
      </c>
      <c r="E73" s="352"/>
      <c r="F73" s="353" t="s">
        <v>21</v>
      </c>
      <c r="G73" s="455">
        <f>G75+G78+G106+G140+G172+G203</f>
        <v>217811</v>
      </c>
      <c r="H73" s="456">
        <f>G73/$G$8</f>
        <v>0.1839782925</v>
      </c>
      <c r="I73" s="353"/>
      <c r="J73" s="358"/>
      <c r="K73" s="358"/>
      <c r="L73" s="358"/>
      <c r="M73" s="358"/>
      <c r="N73" s="358"/>
      <c r="O73" s="358"/>
      <c r="P73" s="358"/>
      <c r="Q73" s="358"/>
      <c r="R73" s="358"/>
      <c r="S73" s="358"/>
      <c r="T73" s="358"/>
      <c r="U73" s="358"/>
      <c r="V73" s="358"/>
      <c r="W73" s="358"/>
      <c r="X73" s="358"/>
      <c r="Y73" s="358"/>
      <c r="Z73" s="358"/>
      <c r="AA73" s="358"/>
      <c r="AB73" s="358"/>
      <c r="AC73" s="358"/>
      <c r="AD73" s="358"/>
    </row>
    <row r="74">
      <c r="A74" s="347"/>
      <c r="B74" s="323"/>
      <c r="C74" s="323"/>
      <c r="D74" s="323"/>
      <c r="E74" s="223"/>
      <c r="F74" s="348"/>
      <c r="G74" s="434"/>
      <c r="H74" s="337"/>
      <c r="I74" s="336"/>
      <c r="J74" s="233"/>
      <c r="K74" s="233"/>
      <c r="L74" s="233"/>
      <c r="M74" s="233"/>
      <c r="N74" s="233"/>
      <c r="O74" s="233"/>
      <c r="P74" s="233"/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3"/>
      <c r="AC74" s="233"/>
      <c r="AD74" s="233"/>
    </row>
    <row r="75">
      <c r="A75" s="347"/>
      <c r="B75" s="394"/>
      <c r="C75" s="394" t="s">
        <v>47</v>
      </c>
      <c r="D75" s="394" t="s">
        <v>46</v>
      </c>
      <c r="E75" s="395"/>
      <c r="F75" s="396" t="s">
        <v>48</v>
      </c>
      <c r="G75" s="457">
        <f>G76</f>
        <v>10000</v>
      </c>
      <c r="H75" s="365">
        <f>G75/$G$73</f>
        <v>0.04591136352</v>
      </c>
      <c r="I75" s="366"/>
      <c r="J75" s="424"/>
      <c r="K75" s="424"/>
      <c r="L75" s="424"/>
      <c r="M75" s="424"/>
      <c r="N75" s="424"/>
      <c r="O75" s="424"/>
      <c r="P75" s="424"/>
      <c r="Q75" s="424"/>
      <c r="R75" s="424"/>
      <c r="S75" s="424"/>
      <c r="T75" s="424"/>
      <c r="U75" s="424"/>
      <c r="V75" s="424"/>
      <c r="W75" s="424"/>
      <c r="X75" s="424"/>
      <c r="Y75" s="424"/>
      <c r="Z75" s="424"/>
      <c r="AA75" s="424"/>
      <c r="AB75" s="424"/>
      <c r="AC75" s="424"/>
      <c r="AD75" s="424"/>
    </row>
    <row r="76">
      <c r="A76" s="347"/>
      <c r="B76" s="323"/>
      <c r="C76" s="323"/>
      <c r="D76" s="323"/>
      <c r="E76" s="223" t="s">
        <v>126</v>
      </c>
      <c r="F76" s="348" t="s">
        <v>127</v>
      </c>
      <c r="G76" s="458">
        <v>10000.0</v>
      </c>
      <c r="H76" s="371">
        <f>G76/$G$75</f>
        <v>1</v>
      </c>
      <c r="I76" s="459" t="s">
        <v>184</v>
      </c>
      <c r="J76" s="233"/>
      <c r="K76" s="233"/>
      <c r="L76" s="233"/>
      <c r="M76" s="233"/>
      <c r="N76" s="233"/>
      <c r="O76" s="233"/>
      <c r="P76" s="233"/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/>
      <c r="AB76" s="233"/>
      <c r="AC76" s="233"/>
      <c r="AD76" s="233"/>
    </row>
    <row r="77">
      <c r="A77" s="347"/>
      <c r="B77" s="323"/>
      <c r="C77" s="323"/>
      <c r="D77" s="323"/>
      <c r="E77" s="223"/>
      <c r="F77" s="348"/>
      <c r="G77" s="434"/>
      <c r="H77" s="337"/>
      <c r="I77" s="336"/>
      <c r="J77" s="233"/>
      <c r="K77" s="233"/>
      <c r="L77" s="233"/>
      <c r="M77" s="233"/>
      <c r="N77" s="233"/>
      <c r="O77" s="233"/>
      <c r="P77" s="233"/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/>
      <c r="AB77" s="233"/>
      <c r="AC77" s="233"/>
      <c r="AD77" s="233"/>
    </row>
    <row r="78">
      <c r="A78" s="347"/>
      <c r="B78" s="394"/>
      <c r="C78" s="394" t="s">
        <v>46</v>
      </c>
      <c r="D78" s="394" t="s">
        <v>47</v>
      </c>
      <c r="E78" s="395"/>
      <c r="F78" s="396" t="s">
        <v>185</v>
      </c>
      <c r="G78" s="422">
        <f>G79+G81+G85+G94+G98</f>
        <v>70400</v>
      </c>
      <c r="H78" s="365">
        <f>G78/$G$73</f>
        <v>0.3232159992</v>
      </c>
      <c r="I78" s="396"/>
      <c r="J78" s="412"/>
      <c r="K78" s="412"/>
      <c r="L78" s="412"/>
      <c r="M78" s="412"/>
      <c r="N78" s="412"/>
      <c r="O78" s="412"/>
      <c r="P78" s="412"/>
      <c r="Q78" s="412"/>
      <c r="R78" s="412"/>
      <c r="S78" s="412"/>
      <c r="T78" s="412"/>
      <c r="U78" s="412"/>
      <c r="V78" s="412"/>
      <c r="W78" s="412"/>
      <c r="X78" s="412"/>
      <c r="Y78" s="412"/>
      <c r="Z78" s="412"/>
      <c r="AA78" s="412"/>
      <c r="AB78" s="412"/>
      <c r="AC78" s="412"/>
      <c r="AD78" s="412"/>
    </row>
    <row r="79">
      <c r="A79" s="460"/>
      <c r="B79" s="461"/>
      <c r="C79" s="461"/>
      <c r="D79" s="461" t="s">
        <v>46</v>
      </c>
      <c r="E79" s="462"/>
      <c r="F79" s="463" t="s">
        <v>48</v>
      </c>
      <c r="G79" s="464">
        <f>SUM(G80)</f>
        <v>5000</v>
      </c>
      <c r="H79" s="465">
        <f>G79/$G$78</f>
        <v>0.07102272727</v>
      </c>
      <c r="I79" s="463"/>
      <c r="J79" s="466"/>
      <c r="K79" s="466"/>
      <c r="L79" s="466"/>
      <c r="M79" s="466"/>
      <c r="N79" s="466"/>
      <c r="O79" s="466"/>
      <c r="P79" s="466"/>
      <c r="Q79" s="466"/>
      <c r="R79" s="466"/>
      <c r="S79" s="466"/>
      <c r="T79" s="466"/>
      <c r="U79" s="466"/>
      <c r="V79" s="466"/>
      <c r="W79" s="466"/>
      <c r="X79" s="466"/>
      <c r="Y79" s="466"/>
      <c r="Z79" s="466"/>
      <c r="AA79" s="466"/>
      <c r="AB79" s="466"/>
      <c r="AC79" s="466"/>
      <c r="AD79" s="466"/>
    </row>
    <row r="80">
      <c r="A80" s="347"/>
      <c r="B80" s="323"/>
      <c r="C80" s="323"/>
      <c r="D80" s="323"/>
      <c r="E80" s="223" t="s">
        <v>126</v>
      </c>
      <c r="F80" s="348" t="s">
        <v>127</v>
      </c>
      <c r="G80" s="434">
        <v>5000.0</v>
      </c>
      <c r="H80" s="467">
        <f>G80/$G$79</f>
        <v>1</v>
      </c>
      <c r="I80" s="459" t="s">
        <v>186</v>
      </c>
      <c r="J80" s="233"/>
      <c r="K80" s="233"/>
      <c r="L80" s="233"/>
      <c r="M80" s="233"/>
      <c r="N80" s="233"/>
      <c r="O80" s="233"/>
      <c r="P80" s="233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/>
      <c r="AB80" s="233"/>
      <c r="AC80" s="233"/>
      <c r="AD80" s="233"/>
    </row>
    <row r="81">
      <c r="A81" s="347"/>
      <c r="B81" s="461"/>
      <c r="C81" s="461"/>
      <c r="D81" s="461" t="s">
        <v>49</v>
      </c>
      <c r="E81" s="462"/>
      <c r="F81" s="468" t="s">
        <v>63</v>
      </c>
      <c r="G81" s="469">
        <f>SUM(G82:G84)</f>
        <v>5930</v>
      </c>
      <c r="H81" s="470">
        <f>G81/$G$78</f>
        <v>0.08423295455</v>
      </c>
      <c r="I81" s="463"/>
      <c r="J81" s="471"/>
      <c r="K81" s="466"/>
      <c r="L81" s="466"/>
      <c r="M81" s="466"/>
      <c r="N81" s="466"/>
      <c r="O81" s="466"/>
      <c r="P81" s="466"/>
      <c r="Q81" s="466"/>
      <c r="R81" s="466"/>
      <c r="S81" s="466"/>
      <c r="T81" s="466"/>
      <c r="U81" s="466"/>
      <c r="V81" s="466"/>
      <c r="W81" s="466"/>
      <c r="X81" s="466"/>
      <c r="Y81" s="466"/>
      <c r="Z81" s="466"/>
      <c r="AA81" s="466"/>
      <c r="AB81" s="466"/>
      <c r="AC81" s="466"/>
      <c r="AD81" s="466"/>
    </row>
    <row r="82">
      <c r="A82" s="472"/>
      <c r="B82" s="322"/>
      <c r="C82" s="323"/>
      <c r="D82" s="323"/>
      <c r="E82" s="473" t="s">
        <v>123</v>
      </c>
      <c r="F82" s="474" t="s">
        <v>124</v>
      </c>
      <c r="G82" s="404">
        <v>1330.0</v>
      </c>
      <c r="H82" s="371">
        <f t="shared" ref="H82:H84" si="10">G82/$G$81</f>
        <v>0.2242833052</v>
      </c>
      <c r="I82" s="459" t="s">
        <v>187</v>
      </c>
      <c r="J82" s="475"/>
      <c r="K82" s="233"/>
      <c r="L82" s="233"/>
      <c r="M82" s="233"/>
      <c r="N82" s="233"/>
      <c r="O82" s="233"/>
      <c r="P82" s="233"/>
      <c r="Q82" s="233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2"/>
    </row>
    <row r="83">
      <c r="A83" s="472"/>
      <c r="B83" s="322"/>
      <c r="C83" s="323"/>
      <c r="D83" s="323"/>
      <c r="E83" s="189" t="s">
        <v>188</v>
      </c>
      <c r="F83" s="406" t="s">
        <v>189</v>
      </c>
      <c r="G83" s="401">
        <v>100.0</v>
      </c>
      <c r="H83" s="371">
        <f t="shared" si="10"/>
        <v>0.01686340641</v>
      </c>
      <c r="I83" s="459" t="s">
        <v>190</v>
      </c>
      <c r="J83" s="475"/>
      <c r="K83" s="233"/>
      <c r="L83" s="233"/>
      <c r="M83" s="233"/>
      <c r="N83" s="233"/>
      <c r="O83" s="233"/>
      <c r="P83" s="233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2"/>
    </row>
    <row r="84">
      <c r="A84" s="347"/>
      <c r="B84" s="323"/>
      <c r="C84" s="323"/>
      <c r="D84" s="322"/>
      <c r="E84" s="476" t="s">
        <v>167</v>
      </c>
      <c r="F84" s="406" t="s">
        <v>168</v>
      </c>
      <c r="G84" s="404">
        <v>4500.0</v>
      </c>
      <c r="H84" s="371">
        <f t="shared" si="10"/>
        <v>0.7588532884</v>
      </c>
      <c r="I84" s="459" t="s">
        <v>191</v>
      </c>
      <c r="J84" s="475"/>
      <c r="K84" s="233"/>
      <c r="L84" s="233"/>
      <c r="M84" s="233"/>
      <c r="N84" s="233"/>
      <c r="O84" s="233"/>
      <c r="P84" s="233"/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</row>
    <row r="85">
      <c r="A85" s="347"/>
      <c r="B85" s="461"/>
      <c r="C85" s="461"/>
      <c r="D85" s="461" t="s">
        <v>51</v>
      </c>
      <c r="E85" s="462"/>
      <c r="F85" s="468" t="s">
        <v>64</v>
      </c>
      <c r="G85" s="464">
        <f>SUM(G86:G92)</f>
        <v>21020</v>
      </c>
      <c r="H85" s="470">
        <f>G85/$G$78</f>
        <v>0.2985795455</v>
      </c>
      <c r="I85" s="477"/>
      <c r="J85" s="471"/>
      <c r="K85" s="466"/>
      <c r="L85" s="466"/>
      <c r="M85" s="466"/>
      <c r="N85" s="466"/>
      <c r="O85" s="466"/>
      <c r="P85" s="466"/>
      <c r="Q85" s="466"/>
      <c r="R85" s="466"/>
      <c r="S85" s="466"/>
      <c r="T85" s="466"/>
      <c r="U85" s="466"/>
      <c r="V85" s="466"/>
      <c r="W85" s="466"/>
      <c r="X85" s="466"/>
      <c r="Y85" s="466"/>
      <c r="Z85" s="466"/>
      <c r="AA85" s="466"/>
      <c r="AB85" s="466"/>
      <c r="AC85" s="466"/>
      <c r="AD85" s="466"/>
    </row>
    <row r="86">
      <c r="A86" s="347"/>
      <c r="B86" s="323"/>
      <c r="C86" s="323"/>
      <c r="D86" s="323"/>
      <c r="E86" s="225" t="s">
        <v>123</v>
      </c>
      <c r="F86" s="428" t="s">
        <v>124</v>
      </c>
      <c r="G86" s="434">
        <v>2850.0</v>
      </c>
      <c r="H86" s="371">
        <f>G86/$G$85</f>
        <v>0.135585157</v>
      </c>
      <c r="I86" s="459" t="s">
        <v>192</v>
      </c>
      <c r="J86" s="337"/>
      <c r="K86" s="233"/>
      <c r="L86" s="233"/>
      <c r="M86" s="233"/>
      <c r="N86" s="233"/>
      <c r="O86" s="233"/>
      <c r="P86" s="233"/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</row>
    <row r="87" ht="14.25" customHeight="1">
      <c r="A87" s="347"/>
      <c r="B87" s="323"/>
      <c r="C87" s="323"/>
      <c r="D87" s="323"/>
      <c r="E87" s="223"/>
      <c r="F87" s="348"/>
      <c r="G87" s="434"/>
      <c r="H87" s="336"/>
      <c r="I87" s="459" t="s">
        <v>193</v>
      </c>
      <c r="J87" s="337"/>
      <c r="K87" s="233"/>
      <c r="L87" s="233"/>
      <c r="M87" s="233"/>
      <c r="N87" s="233"/>
      <c r="O87" s="233"/>
      <c r="P87" s="233"/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</row>
    <row r="88">
      <c r="A88" s="347"/>
      <c r="B88" s="323"/>
      <c r="C88" s="323"/>
      <c r="D88" s="323"/>
      <c r="E88" s="225" t="s">
        <v>188</v>
      </c>
      <c r="F88" s="428" t="s">
        <v>189</v>
      </c>
      <c r="G88" s="434">
        <v>2070.0</v>
      </c>
      <c r="H88" s="371">
        <f>G88/$G$85</f>
        <v>0.09847764034</v>
      </c>
      <c r="I88" s="459" t="s">
        <v>194</v>
      </c>
      <c r="J88" s="337"/>
      <c r="K88" s="233"/>
      <c r="L88" s="233"/>
      <c r="M88" s="233"/>
      <c r="N88" s="233"/>
      <c r="O88" s="233"/>
      <c r="P88" s="233"/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</row>
    <row r="89">
      <c r="A89" s="347"/>
      <c r="B89" s="323"/>
      <c r="C89" s="323"/>
      <c r="D89" s="323"/>
      <c r="E89" s="223"/>
      <c r="F89" s="348"/>
      <c r="G89" s="434"/>
      <c r="H89" s="371"/>
      <c r="I89" s="459" t="s">
        <v>195</v>
      </c>
      <c r="J89" s="337"/>
      <c r="K89" s="233"/>
      <c r="L89" s="233"/>
      <c r="M89" s="233"/>
      <c r="N89" s="233"/>
      <c r="O89" s="233"/>
      <c r="P89" s="233"/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/>
      <c r="AB89" s="233"/>
      <c r="AC89" s="233"/>
      <c r="AD89" s="233"/>
    </row>
    <row r="90">
      <c r="A90" s="347"/>
      <c r="B90" s="323"/>
      <c r="C90" s="323"/>
      <c r="D90" s="323"/>
      <c r="E90" s="189" t="s">
        <v>129</v>
      </c>
      <c r="F90" s="400" t="s">
        <v>156</v>
      </c>
      <c r="G90" s="404">
        <v>13500.0</v>
      </c>
      <c r="H90" s="371">
        <f t="shared" ref="H90:H92" si="11">G90/$G$85</f>
        <v>0.6422454805</v>
      </c>
      <c r="I90" s="459" t="s">
        <v>196</v>
      </c>
      <c r="J90" s="337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/>
      <c r="AB90" s="233"/>
      <c r="AC90" s="233"/>
      <c r="AD90" s="233"/>
    </row>
    <row r="91">
      <c r="A91" s="347"/>
      <c r="B91" s="323"/>
      <c r="C91" s="323"/>
      <c r="D91" s="323"/>
      <c r="E91" s="189" t="s">
        <v>140</v>
      </c>
      <c r="F91" s="400" t="s">
        <v>141</v>
      </c>
      <c r="G91" s="404">
        <v>2100.0</v>
      </c>
      <c r="H91" s="371">
        <f t="shared" si="11"/>
        <v>0.09990485252</v>
      </c>
      <c r="I91" s="459" t="s">
        <v>197</v>
      </c>
      <c r="J91" s="337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/>
      <c r="AB91" s="233"/>
      <c r="AC91" s="233"/>
      <c r="AD91" s="233"/>
    </row>
    <row r="92">
      <c r="A92" s="347"/>
      <c r="B92" s="323"/>
      <c r="C92" s="323"/>
      <c r="D92" s="323"/>
      <c r="E92" s="189" t="s">
        <v>135</v>
      </c>
      <c r="F92" s="400" t="s">
        <v>136</v>
      </c>
      <c r="G92" s="401">
        <v>500.0</v>
      </c>
      <c r="H92" s="371">
        <f t="shared" si="11"/>
        <v>0.02378686965</v>
      </c>
      <c r="I92" s="459" t="s">
        <v>198</v>
      </c>
      <c r="J92" s="337"/>
      <c r="K92" s="233"/>
      <c r="L92" s="233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/>
      <c r="AB92" s="233"/>
      <c r="AC92" s="233"/>
      <c r="AD92" s="233"/>
    </row>
    <row r="93">
      <c r="A93" s="347"/>
      <c r="B93" s="323"/>
      <c r="C93" s="323"/>
      <c r="D93" s="323"/>
      <c r="E93" s="223"/>
      <c r="F93" s="348"/>
      <c r="G93" s="434"/>
      <c r="H93" s="336"/>
      <c r="I93" s="348"/>
      <c r="J93" s="233"/>
      <c r="K93" s="233"/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/>
      <c r="AB93" s="233"/>
      <c r="AC93" s="233"/>
      <c r="AD93" s="233"/>
    </row>
    <row r="94">
      <c r="A94" s="347"/>
      <c r="B94" s="461"/>
      <c r="C94" s="461"/>
      <c r="D94" s="461" t="s">
        <v>53</v>
      </c>
      <c r="E94" s="462"/>
      <c r="F94" s="468" t="s">
        <v>65</v>
      </c>
      <c r="G94" s="464">
        <f>SUM(G95:G96)</f>
        <v>5350</v>
      </c>
      <c r="H94" s="470">
        <f>G94/$G$78</f>
        <v>0.07599431818</v>
      </c>
      <c r="I94" s="477"/>
      <c r="J94" s="471"/>
      <c r="K94" s="466"/>
      <c r="L94" s="466"/>
      <c r="M94" s="466"/>
      <c r="N94" s="466"/>
      <c r="O94" s="466"/>
      <c r="P94" s="466"/>
      <c r="Q94" s="466"/>
      <c r="R94" s="466"/>
      <c r="S94" s="466"/>
      <c r="T94" s="466"/>
      <c r="U94" s="466"/>
      <c r="V94" s="466"/>
      <c r="W94" s="466"/>
      <c r="X94" s="466"/>
      <c r="Y94" s="466"/>
      <c r="Z94" s="466"/>
      <c r="AA94" s="466"/>
      <c r="AB94" s="466"/>
      <c r="AC94" s="466"/>
      <c r="AD94" s="466"/>
    </row>
    <row r="95">
      <c r="A95" s="347"/>
      <c r="B95" s="323"/>
      <c r="C95" s="323"/>
      <c r="D95" s="323"/>
      <c r="E95" s="225" t="s">
        <v>123</v>
      </c>
      <c r="F95" s="428" t="s">
        <v>124</v>
      </c>
      <c r="G95" s="404">
        <v>1900.0</v>
      </c>
      <c r="H95" s="371">
        <f t="shared" ref="H95:H96" si="12">G95/$G$94</f>
        <v>0.3551401869</v>
      </c>
      <c r="I95" s="459" t="s">
        <v>199</v>
      </c>
      <c r="J95" s="478"/>
      <c r="K95" s="426"/>
      <c r="L95" s="426"/>
      <c r="M95" s="426"/>
      <c r="N95" s="426"/>
      <c r="O95" s="426"/>
      <c r="P95" s="426"/>
      <c r="Q95" s="426"/>
      <c r="R95" s="426"/>
      <c r="S95" s="426"/>
      <c r="T95" s="426"/>
      <c r="U95" s="426"/>
      <c r="V95" s="426"/>
      <c r="W95" s="426"/>
      <c r="X95" s="426"/>
      <c r="Y95" s="426"/>
      <c r="Z95" s="426"/>
      <c r="AA95" s="426"/>
      <c r="AB95" s="426"/>
      <c r="AC95" s="426"/>
      <c r="AD95" s="426"/>
    </row>
    <row r="96">
      <c r="A96" s="347"/>
      <c r="B96" s="323"/>
      <c r="C96" s="323"/>
      <c r="D96" s="323"/>
      <c r="E96" s="225" t="s">
        <v>188</v>
      </c>
      <c r="F96" s="428" t="s">
        <v>189</v>
      </c>
      <c r="G96" s="427">
        <v>3450.0</v>
      </c>
      <c r="H96" s="371">
        <f t="shared" si="12"/>
        <v>0.6448598131</v>
      </c>
      <c r="I96" s="479" t="s">
        <v>200</v>
      </c>
      <c r="J96" s="337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</row>
    <row r="97">
      <c r="A97" s="347"/>
      <c r="B97" s="323"/>
      <c r="C97" s="323"/>
      <c r="D97" s="323"/>
      <c r="E97" s="223"/>
      <c r="F97" s="348"/>
      <c r="G97" s="434"/>
      <c r="H97" s="336"/>
      <c r="I97" s="459" t="s">
        <v>201</v>
      </c>
      <c r="J97" s="337"/>
      <c r="K97" s="233"/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</row>
    <row r="98">
      <c r="A98" s="460"/>
      <c r="B98" s="461"/>
      <c r="C98" s="461"/>
      <c r="D98" s="461" t="s">
        <v>55</v>
      </c>
      <c r="E98" s="462"/>
      <c r="F98" s="463" t="s">
        <v>202</v>
      </c>
      <c r="G98" s="464">
        <f>SUM(G101:G104)</f>
        <v>33100</v>
      </c>
      <c r="H98" s="465">
        <f>G98/$G$78</f>
        <v>0.4701704545</v>
      </c>
      <c r="I98" s="477"/>
      <c r="J98" s="471"/>
      <c r="K98" s="466"/>
      <c r="L98" s="466"/>
      <c r="M98" s="466"/>
      <c r="N98" s="466"/>
      <c r="O98" s="466"/>
      <c r="P98" s="466"/>
      <c r="Q98" s="466"/>
      <c r="R98" s="466"/>
      <c r="S98" s="466"/>
      <c r="T98" s="466"/>
      <c r="U98" s="466"/>
      <c r="V98" s="466"/>
      <c r="W98" s="466"/>
      <c r="X98" s="466"/>
      <c r="Y98" s="466"/>
      <c r="Z98" s="466"/>
      <c r="AA98" s="466"/>
      <c r="AB98" s="466"/>
      <c r="AC98" s="466"/>
      <c r="AD98" s="466"/>
    </row>
    <row r="99">
      <c r="A99" s="460"/>
      <c r="B99" s="461"/>
      <c r="C99" s="461"/>
      <c r="D99" s="461"/>
      <c r="E99" s="462"/>
      <c r="F99" s="463" t="s">
        <v>203</v>
      </c>
      <c r="G99" s="464"/>
      <c r="H99" s="477"/>
      <c r="I99" s="477"/>
      <c r="J99" s="471"/>
      <c r="K99" s="466"/>
      <c r="L99" s="466"/>
      <c r="M99" s="466"/>
      <c r="N99" s="466"/>
      <c r="O99" s="466"/>
      <c r="P99" s="466"/>
      <c r="Q99" s="466"/>
      <c r="R99" s="466"/>
      <c r="S99" s="466"/>
      <c r="T99" s="466"/>
      <c r="U99" s="466"/>
      <c r="V99" s="466"/>
      <c r="W99" s="466"/>
      <c r="X99" s="466"/>
      <c r="Y99" s="466"/>
      <c r="Z99" s="466"/>
      <c r="AA99" s="466"/>
      <c r="AB99" s="466"/>
      <c r="AC99" s="466"/>
      <c r="AD99" s="466"/>
    </row>
    <row r="100">
      <c r="A100" s="460"/>
      <c r="B100" s="461"/>
      <c r="C100" s="461"/>
      <c r="D100" s="461"/>
      <c r="E100" s="462"/>
      <c r="F100" s="463" t="s">
        <v>204</v>
      </c>
      <c r="G100" s="464"/>
      <c r="H100" s="477"/>
      <c r="I100" s="480"/>
      <c r="J100" s="471"/>
      <c r="K100" s="466"/>
      <c r="L100" s="466"/>
      <c r="M100" s="466"/>
      <c r="N100" s="466"/>
      <c r="O100" s="466"/>
      <c r="P100" s="466"/>
      <c r="Q100" s="466"/>
      <c r="R100" s="466"/>
      <c r="S100" s="466"/>
      <c r="T100" s="466"/>
      <c r="U100" s="466"/>
      <c r="V100" s="466"/>
      <c r="W100" s="466"/>
      <c r="X100" s="466"/>
      <c r="Y100" s="466"/>
      <c r="Z100" s="466"/>
      <c r="AA100" s="466"/>
      <c r="AB100" s="466"/>
      <c r="AC100" s="466"/>
      <c r="AD100" s="466"/>
    </row>
    <row r="101">
      <c r="A101" s="347"/>
      <c r="B101" s="323"/>
      <c r="C101" s="323"/>
      <c r="D101" s="323"/>
      <c r="E101" s="189" t="s">
        <v>123</v>
      </c>
      <c r="F101" s="400" t="s">
        <v>124</v>
      </c>
      <c r="G101" s="404">
        <v>17100.0</v>
      </c>
      <c r="H101" s="371">
        <f>G101/$G$98</f>
        <v>0.5166163142</v>
      </c>
      <c r="I101" s="459" t="s">
        <v>205</v>
      </c>
      <c r="J101" s="337"/>
      <c r="K101" s="233"/>
      <c r="L101" s="233"/>
      <c r="M101" s="233"/>
      <c r="N101" s="233"/>
      <c r="O101" s="233"/>
      <c r="P101" s="233"/>
      <c r="Q101" s="233"/>
      <c r="R101" s="233"/>
      <c r="S101" s="233"/>
      <c r="T101" s="233"/>
      <c r="U101" s="233"/>
      <c r="V101" s="233"/>
      <c r="W101" s="233"/>
      <c r="X101" s="233"/>
      <c r="Y101" s="233"/>
      <c r="Z101" s="233"/>
      <c r="AA101" s="233"/>
      <c r="AB101" s="233"/>
      <c r="AC101" s="233"/>
      <c r="AD101" s="233"/>
    </row>
    <row r="102">
      <c r="A102" s="347"/>
      <c r="B102" s="323"/>
      <c r="C102" s="323"/>
      <c r="D102" s="323"/>
      <c r="E102" s="223"/>
      <c r="F102" s="348"/>
      <c r="G102" s="434"/>
      <c r="H102" s="336"/>
      <c r="I102" s="459" t="s">
        <v>206</v>
      </c>
      <c r="J102" s="337"/>
      <c r="K102" s="233"/>
      <c r="L102" s="233"/>
      <c r="M102" s="233"/>
      <c r="N102" s="233"/>
      <c r="O102" s="233"/>
      <c r="P102" s="233"/>
      <c r="Q102" s="233"/>
      <c r="R102" s="233"/>
      <c r="S102" s="233"/>
      <c r="T102" s="233"/>
      <c r="U102" s="233"/>
      <c r="V102" s="233"/>
      <c r="W102" s="233"/>
      <c r="X102" s="233"/>
      <c r="Y102" s="233"/>
      <c r="Z102" s="233"/>
      <c r="AA102" s="233"/>
      <c r="AB102" s="233"/>
      <c r="AC102" s="233"/>
      <c r="AD102" s="233"/>
    </row>
    <row r="103">
      <c r="A103" s="347"/>
      <c r="B103" s="323"/>
      <c r="C103" s="323"/>
      <c r="D103" s="323"/>
      <c r="E103" s="189" t="s">
        <v>148</v>
      </c>
      <c r="F103" s="400" t="s">
        <v>122</v>
      </c>
      <c r="G103" s="404">
        <v>12000.0</v>
      </c>
      <c r="H103" s="371">
        <f t="shared" ref="H103:H104" si="13">G103/$G$98</f>
        <v>0.3625377644</v>
      </c>
      <c r="I103" s="479" t="s">
        <v>207</v>
      </c>
      <c r="J103" s="337"/>
      <c r="K103" s="233"/>
      <c r="L103" s="233"/>
      <c r="M103" s="233"/>
      <c r="N103" s="233"/>
      <c r="O103" s="233"/>
      <c r="P103" s="233"/>
      <c r="Q103" s="233"/>
      <c r="R103" s="233"/>
      <c r="S103" s="233"/>
      <c r="T103" s="233"/>
      <c r="U103" s="233"/>
      <c r="V103" s="233"/>
      <c r="W103" s="233"/>
      <c r="X103" s="233"/>
      <c r="Y103" s="233"/>
      <c r="Z103" s="233"/>
      <c r="AA103" s="233"/>
      <c r="AB103" s="233"/>
      <c r="AC103" s="233"/>
      <c r="AD103" s="233"/>
    </row>
    <row r="104">
      <c r="A104" s="347"/>
      <c r="B104" s="323"/>
      <c r="C104" s="323"/>
      <c r="D104" s="323"/>
      <c r="E104" s="189" t="s">
        <v>173</v>
      </c>
      <c r="F104" s="400" t="s">
        <v>174</v>
      </c>
      <c r="G104" s="404">
        <v>4000.0</v>
      </c>
      <c r="H104" s="371">
        <f t="shared" si="13"/>
        <v>0.1208459215</v>
      </c>
      <c r="I104" s="479" t="s">
        <v>208</v>
      </c>
      <c r="J104" s="337"/>
      <c r="K104" s="233"/>
      <c r="L104" s="233"/>
      <c r="M104" s="233"/>
      <c r="N104" s="233"/>
      <c r="O104" s="233"/>
      <c r="P104" s="233"/>
      <c r="Q104" s="233"/>
      <c r="R104" s="233"/>
      <c r="S104" s="233"/>
      <c r="T104" s="233"/>
      <c r="U104" s="233"/>
      <c r="V104" s="233"/>
      <c r="W104" s="233"/>
      <c r="X104" s="233"/>
      <c r="Y104" s="233"/>
      <c r="Z104" s="233"/>
      <c r="AA104" s="233"/>
      <c r="AB104" s="233"/>
      <c r="AC104" s="233"/>
      <c r="AD104" s="233"/>
    </row>
    <row r="105">
      <c r="A105" s="347"/>
      <c r="B105" s="323"/>
      <c r="C105" s="323"/>
      <c r="D105" s="323"/>
      <c r="E105" s="223"/>
      <c r="F105" s="348"/>
      <c r="G105" s="434"/>
      <c r="H105" s="336"/>
      <c r="I105" s="336"/>
      <c r="J105" s="337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/>
      <c r="U105" s="233"/>
      <c r="V105" s="233"/>
      <c r="W105" s="233"/>
      <c r="X105" s="233"/>
      <c r="Y105" s="233"/>
      <c r="Z105" s="233"/>
      <c r="AA105" s="233"/>
      <c r="AB105" s="233"/>
      <c r="AC105" s="233"/>
      <c r="AD105" s="233"/>
    </row>
    <row r="106">
      <c r="A106" s="347"/>
      <c r="B106" s="394"/>
      <c r="C106" s="394" t="s">
        <v>49</v>
      </c>
      <c r="D106" s="394" t="s">
        <v>47</v>
      </c>
      <c r="E106" s="395"/>
      <c r="F106" s="396" t="s">
        <v>209</v>
      </c>
      <c r="G106" s="422">
        <f>G107+G109+G120+G129+G135</f>
        <v>30470</v>
      </c>
      <c r="H106" s="365">
        <f>G106/$G$73</f>
        <v>0.1398919247</v>
      </c>
      <c r="I106" s="366"/>
      <c r="J106" s="411"/>
      <c r="K106" s="412"/>
      <c r="L106" s="412"/>
      <c r="M106" s="412"/>
      <c r="N106" s="412"/>
      <c r="O106" s="412"/>
      <c r="P106" s="412"/>
      <c r="Q106" s="412"/>
      <c r="R106" s="412"/>
      <c r="S106" s="412"/>
      <c r="T106" s="412"/>
      <c r="U106" s="412"/>
      <c r="V106" s="412"/>
      <c r="W106" s="412"/>
      <c r="X106" s="412"/>
      <c r="Y106" s="412"/>
      <c r="Z106" s="412"/>
      <c r="AA106" s="412"/>
      <c r="AB106" s="412"/>
      <c r="AC106" s="412"/>
      <c r="AD106" s="412"/>
    </row>
    <row r="107">
      <c r="A107" s="460"/>
      <c r="B107" s="461"/>
      <c r="C107" s="461"/>
      <c r="D107" s="461" t="s">
        <v>46</v>
      </c>
      <c r="E107" s="462"/>
      <c r="F107" s="463" t="s">
        <v>210</v>
      </c>
      <c r="G107" s="464">
        <f>SUM(G108)</f>
        <v>5000</v>
      </c>
      <c r="H107" s="470">
        <f>G107/$G$106</f>
        <v>0.164095832</v>
      </c>
      <c r="I107" s="481"/>
      <c r="J107" s="471"/>
      <c r="K107" s="466"/>
      <c r="L107" s="466"/>
      <c r="M107" s="466"/>
      <c r="N107" s="466"/>
      <c r="O107" s="466"/>
      <c r="P107" s="466"/>
      <c r="Q107" s="466"/>
      <c r="R107" s="466"/>
      <c r="S107" s="466"/>
      <c r="T107" s="466"/>
      <c r="U107" s="466"/>
      <c r="V107" s="466"/>
      <c r="W107" s="466"/>
      <c r="X107" s="466"/>
      <c r="Y107" s="466"/>
      <c r="Z107" s="466"/>
      <c r="AA107" s="466"/>
      <c r="AB107" s="466"/>
      <c r="AC107" s="466"/>
      <c r="AD107" s="466"/>
    </row>
    <row r="108">
      <c r="A108" s="347"/>
      <c r="B108" s="323"/>
      <c r="C108" s="323"/>
      <c r="D108" s="323"/>
      <c r="E108" s="189" t="s">
        <v>126</v>
      </c>
      <c r="F108" s="400" t="s">
        <v>127</v>
      </c>
      <c r="G108" s="427">
        <v>5000.0</v>
      </c>
      <c r="H108" s="482">
        <f>G108/G107</f>
        <v>1</v>
      </c>
      <c r="I108" s="459" t="s">
        <v>186</v>
      </c>
      <c r="J108" s="337"/>
      <c r="K108" s="233"/>
      <c r="L108" s="233"/>
      <c r="M108" s="233"/>
      <c r="N108" s="233"/>
      <c r="O108" s="233"/>
      <c r="P108" s="233"/>
      <c r="Q108" s="233"/>
      <c r="R108" s="233"/>
      <c r="S108" s="233"/>
      <c r="T108" s="233"/>
      <c r="U108" s="233"/>
      <c r="V108" s="233"/>
      <c r="W108" s="233"/>
      <c r="X108" s="233"/>
      <c r="Y108" s="233"/>
      <c r="Z108" s="233"/>
      <c r="AA108" s="233"/>
      <c r="AB108" s="233"/>
      <c r="AC108" s="233"/>
      <c r="AD108" s="233"/>
    </row>
    <row r="109">
      <c r="A109" s="347"/>
      <c r="B109" s="461"/>
      <c r="C109" s="461"/>
      <c r="D109" s="461" t="s">
        <v>49</v>
      </c>
      <c r="E109" s="462"/>
      <c r="F109" s="468" t="s">
        <v>211</v>
      </c>
      <c r="G109" s="469">
        <f>SUM(G111:G119)</f>
        <v>7910</v>
      </c>
      <c r="H109" s="470">
        <f>G109/$G$106</f>
        <v>0.2595996062</v>
      </c>
      <c r="I109" s="483"/>
      <c r="J109" s="471"/>
      <c r="K109" s="466"/>
      <c r="L109" s="466"/>
      <c r="M109" s="466"/>
      <c r="N109" s="466"/>
      <c r="O109" s="466"/>
      <c r="P109" s="466"/>
      <c r="Q109" s="466"/>
      <c r="R109" s="466"/>
      <c r="S109" s="466"/>
      <c r="T109" s="466"/>
      <c r="U109" s="466"/>
      <c r="V109" s="466"/>
      <c r="W109" s="466"/>
      <c r="X109" s="466"/>
      <c r="Y109" s="466"/>
      <c r="Z109" s="466"/>
      <c r="AA109" s="466"/>
      <c r="AB109" s="466"/>
      <c r="AC109" s="466"/>
      <c r="AD109" s="466"/>
    </row>
    <row r="110">
      <c r="A110" s="347"/>
      <c r="B110" s="461"/>
      <c r="C110" s="461"/>
      <c r="D110" s="461"/>
      <c r="E110" s="462"/>
      <c r="F110" s="484" t="s">
        <v>212</v>
      </c>
      <c r="G110" s="464"/>
      <c r="H110" s="477"/>
      <c r="I110" s="477"/>
      <c r="J110" s="471"/>
      <c r="K110" s="466"/>
      <c r="L110" s="466"/>
      <c r="M110" s="466"/>
      <c r="N110" s="466"/>
      <c r="O110" s="466"/>
      <c r="P110" s="466"/>
      <c r="Q110" s="466"/>
      <c r="R110" s="466"/>
      <c r="S110" s="466"/>
      <c r="T110" s="466"/>
      <c r="U110" s="466"/>
      <c r="V110" s="466"/>
      <c r="W110" s="466"/>
      <c r="X110" s="466"/>
      <c r="Y110" s="466"/>
      <c r="Z110" s="466"/>
      <c r="AA110" s="466"/>
      <c r="AB110" s="466"/>
      <c r="AC110" s="466"/>
      <c r="AD110" s="466"/>
    </row>
    <row r="111">
      <c r="A111" s="347"/>
      <c r="B111" s="323"/>
      <c r="C111" s="323"/>
      <c r="D111" s="323"/>
      <c r="E111" s="225" t="s">
        <v>123</v>
      </c>
      <c r="F111" s="428" t="s">
        <v>124</v>
      </c>
      <c r="G111" s="404">
        <v>3610.0</v>
      </c>
      <c r="H111" s="371">
        <f>G111/$G$109</f>
        <v>0.4563843236</v>
      </c>
      <c r="I111" s="459" t="s">
        <v>213</v>
      </c>
      <c r="J111" s="337"/>
      <c r="K111" s="233"/>
      <c r="L111" s="233"/>
      <c r="M111" s="233"/>
      <c r="N111" s="233"/>
      <c r="O111" s="233"/>
      <c r="P111" s="233"/>
      <c r="Q111" s="233"/>
      <c r="R111" s="233"/>
      <c r="S111" s="233"/>
      <c r="T111" s="233"/>
      <c r="U111" s="233"/>
      <c r="V111" s="233"/>
      <c r="W111" s="233"/>
      <c r="X111" s="233"/>
      <c r="Y111" s="233"/>
      <c r="Z111" s="233"/>
      <c r="AA111" s="233"/>
      <c r="AB111" s="233"/>
      <c r="AC111" s="233"/>
      <c r="AD111" s="233"/>
    </row>
    <row r="112">
      <c r="A112" s="347"/>
      <c r="B112" s="323"/>
      <c r="C112" s="323"/>
      <c r="D112" s="323"/>
      <c r="E112" s="223"/>
      <c r="F112" s="348"/>
      <c r="G112" s="434"/>
      <c r="H112" s="371"/>
      <c r="I112" s="459" t="s">
        <v>214</v>
      </c>
      <c r="J112" s="337"/>
      <c r="K112" s="233"/>
      <c r="L112" s="233"/>
      <c r="M112" s="233"/>
      <c r="N112" s="233"/>
      <c r="O112" s="233"/>
      <c r="P112" s="233"/>
      <c r="Q112" s="233"/>
      <c r="R112" s="233"/>
      <c r="S112" s="233"/>
      <c r="T112" s="233"/>
      <c r="U112" s="233"/>
      <c r="V112" s="233"/>
      <c r="W112" s="233"/>
      <c r="X112" s="233"/>
      <c r="Y112" s="233"/>
      <c r="Z112" s="233"/>
      <c r="AA112" s="233"/>
      <c r="AB112" s="233"/>
      <c r="AC112" s="233"/>
      <c r="AD112" s="233"/>
    </row>
    <row r="113">
      <c r="A113" s="347"/>
      <c r="B113" s="323"/>
      <c r="C113" s="323"/>
      <c r="D113" s="323"/>
      <c r="E113" s="225"/>
      <c r="F113" s="428"/>
      <c r="G113" s="404"/>
      <c r="H113" s="371"/>
      <c r="I113" s="406" t="s">
        <v>215</v>
      </c>
      <c r="J113" s="337"/>
      <c r="K113" s="233"/>
      <c r="L113" s="233"/>
      <c r="M113" s="233"/>
      <c r="N113" s="233"/>
      <c r="O113" s="233"/>
      <c r="P113" s="233"/>
      <c r="Q113" s="233"/>
      <c r="R113" s="233"/>
      <c r="S113" s="233"/>
      <c r="T113" s="233"/>
      <c r="U113" s="233"/>
      <c r="V113" s="233"/>
      <c r="W113" s="233"/>
      <c r="X113" s="233"/>
      <c r="Y113" s="233"/>
      <c r="Z113" s="233"/>
      <c r="AA113" s="233"/>
      <c r="AB113" s="233"/>
      <c r="AC113" s="233"/>
      <c r="AD113" s="233"/>
    </row>
    <row r="114">
      <c r="A114" s="347"/>
      <c r="B114" s="323"/>
      <c r="C114" s="323"/>
      <c r="D114" s="323"/>
      <c r="E114" s="225"/>
      <c r="F114" s="428"/>
      <c r="G114" s="404"/>
      <c r="H114" s="371"/>
      <c r="I114" s="372" t="s">
        <v>216</v>
      </c>
      <c r="J114" s="337"/>
      <c r="K114" s="233"/>
      <c r="L114" s="233"/>
      <c r="M114" s="233"/>
      <c r="N114" s="233"/>
      <c r="O114" s="233"/>
      <c r="P114" s="233"/>
      <c r="Q114" s="233"/>
      <c r="R114" s="233"/>
      <c r="S114" s="233"/>
      <c r="T114" s="233"/>
      <c r="U114" s="233"/>
      <c r="V114" s="233"/>
      <c r="W114" s="233"/>
      <c r="X114" s="233"/>
      <c r="Y114" s="233"/>
      <c r="Z114" s="233"/>
      <c r="AA114" s="233"/>
      <c r="AB114" s="233"/>
      <c r="AC114" s="233"/>
      <c r="AD114" s="233"/>
    </row>
    <row r="115">
      <c r="A115" s="347"/>
      <c r="B115" s="323"/>
      <c r="C115" s="323"/>
      <c r="D115" s="323"/>
      <c r="E115" s="225" t="s">
        <v>188</v>
      </c>
      <c r="F115" s="428" t="s">
        <v>189</v>
      </c>
      <c r="G115" s="404">
        <v>1300.0</v>
      </c>
      <c r="H115" s="371">
        <f>G115/$G$109</f>
        <v>0.1643489254</v>
      </c>
      <c r="I115" s="406" t="s">
        <v>217</v>
      </c>
      <c r="J115" s="337"/>
      <c r="K115" s="233"/>
      <c r="L115" s="233"/>
      <c r="M115" s="233"/>
      <c r="N115" s="233"/>
      <c r="O115" s="233"/>
      <c r="P115" s="233"/>
      <c r="Q115" s="233"/>
      <c r="R115" s="233"/>
      <c r="S115" s="233"/>
      <c r="T115" s="233"/>
      <c r="U115" s="233"/>
      <c r="V115" s="233"/>
      <c r="W115" s="233"/>
      <c r="X115" s="233"/>
      <c r="Y115" s="233"/>
      <c r="Z115" s="233"/>
      <c r="AA115" s="233"/>
      <c r="AB115" s="233"/>
      <c r="AC115" s="233"/>
      <c r="AD115" s="233"/>
    </row>
    <row r="116">
      <c r="A116" s="347"/>
      <c r="B116" s="323"/>
      <c r="C116" s="323"/>
      <c r="D116" s="323"/>
      <c r="E116" s="189"/>
      <c r="F116" s="400"/>
      <c r="G116" s="404"/>
      <c r="H116" s="371"/>
      <c r="I116" s="406" t="s">
        <v>218</v>
      </c>
      <c r="J116" s="337"/>
      <c r="K116" s="233"/>
      <c r="L116" s="233"/>
      <c r="M116" s="233"/>
      <c r="N116" s="233"/>
      <c r="O116" s="233"/>
      <c r="P116" s="233"/>
      <c r="Q116" s="233"/>
      <c r="R116" s="233"/>
      <c r="S116" s="233"/>
      <c r="T116" s="233"/>
      <c r="U116" s="233"/>
      <c r="V116" s="233"/>
      <c r="W116" s="233"/>
      <c r="X116" s="233"/>
      <c r="Y116" s="233"/>
      <c r="Z116" s="233"/>
      <c r="AA116" s="233"/>
      <c r="AB116" s="233"/>
      <c r="AC116" s="233"/>
      <c r="AD116" s="233"/>
    </row>
    <row r="117">
      <c r="A117" s="347"/>
      <c r="B117" s="323"/>
      <c r="C117" s="323"/>
      <c r="D117" s="323"/>
      <c r="E117" s="189" t="s">
        <v>148</v>
      </c>
      <c r="F117" s="400" t="s">
        <v>122</v>
      </c>
      <c r="G117" s="404">
        <v>2000.0</v>
      </c>
      <c r="H117" s="371">
        <f t="shared" ref="H117:H119" si="14">G117/$G$109</f>
        <v>0.2528445006</v>
      </c>
      <c r="I117" s="406" t="s">
        <v>219</v>
      </c>
      <c r="J117" s="337"/>
      <c r="K117" s="233"/>
      <c r="L117" s="233"/>
      <c r="M117" s="233"/>
      <c r="N117" s="233"/>
      <c r="O117" s="233"/>
      <c r="P117" s="233"/>
      <c r="Q117" s="233"/>
      <c r="R117" s="233"/>
      <c r="S117" s="233"/>
      <c r="T117" s="233"/>
      <c r="U117" s="233"/>
      <c r="V117" s="233"/>
      <c r="W117" s="233"/>
      <c r="X117" s="233"/>
      <c r="Y117" s="233"/>
      <c r="Z117" s="233"/>
      <c r="AA117" s="233"/>
      <c r="AB117" s="233"/>
      <c r="AC117" s="233"/>
      <c r="AD117" s="233"/>
    </row>
    <row r="118">
      <c r="A118" s="347"/>
      <c r="B118" s="323"/>
      <c r="C118" s="323"/>
      <c r="D118" s="323"/>
      <c r="E118" s="189" t="s">
        <v>132</v>
      </c>
      <c r="F118" s="400" t="s">
        <v>220</v>
      </c>
      <c r="G118" s="401">
        <v>500.0</v>
      </c>
      <c r="H118" s="371">
        <f t="shared" si="14"/>
        <v>0.06321112516</v>
      </c>
      <c r="I118" s="485" t="s">
        <v>221</v>
      </c>
      <c r="J118" s="337"/>
      <c r="K118" s="233"/>
      <c r="L118" s="233"/>
      <c r="M118" s="233"/>
      <c r="N118" s="233"/>
      <c r="O118" s="233"/>
      <c r="P118" s="233"/>
      <c r="Q118" s="233"/>
      <c r="R118" s="233"/>
      <c r="S118" s="233"/>
      <c r="T118" s="233"/>
      <c r="U118" s="233"/>
      <c r="V118" s="233"/>
      <c r="W118" s="233"/>
      <c r="X118" s="233"/>
      <c r="Y118" s="233"/>
      <c r="Z118" s="233"/>
      <c r="AA118" s="233"/>
      <c r="AB118" s="233"/>
      <c r="AC118" s="233"/>
      <c r="AD118" s="233"/>
    </row>
    <row r="119">
      <c r="A119" s="347"/>
      <c r="B119" s="323"/>
      <c r="C119" s="323"/>
      <c r="D119" s="323"/>
      <c r="E119" s="189" t="s">
        <v>135</v>
      </c>
      <c r="F119" s="400" t="s">
        <v>136</v>
      </c>
      <c r="G119" s="401">
        <v>500.0</v>
      </c>
      <c r="H119" s="371">
        <f t="shared" si="14"/>
        <v>0.06321112516</v>
      </c>
      <c r="I119" s="485" t="s">
        <v>222</v>
      </c>
      <c r="J119" s="337"/>
      <c r="K119" s="233"/>
      <c r="L119" s="233"/>
      <c r="M119" s="233"/>
      <c r="N119" s="233"/>
      <c r="O119" s="233"/>
      <c r="P119" s="233"/>
      <c r="Q119" s="233"/>
      <c r="R119" s="233"/>
      <c r="S119" s="233"/>
      <c r="T119" s="233"/>
      <c r="U119" s="233"/>
      <c r="V119" s="233"/>
      <c r="W119" s="233"/>
      <c r="X119" s="233"/>
      <c r="Y119" s="233"/>
      <c r="Z119" s="233"/>
      <c r="AA119" s="233"/>
      <c r="AB119" s="233"/>
      <c r="AC119" s="233"/>
      <c r="AD119" s="233"/>
    </row>
    <row r="120">
      <c r="A120" s="405"/>
      <c r="B120" s="486"/>
      <c r="C120" s="486"/>
      <c r="D120" s="487" t="s">
        <v>51</v>
      </c>
      <c r="E120" s="488"/>
      <c r="F120" s="489" t="s">
        <v>69</v>
      </c>
      <c r="G120" s="490">
        <f>SUM(G121:G128)</f>
        <v>12030</v>
      </c>
      <c r="H120" s="470">
        <f>G120/$G$106</f>
        <v>0.3948145717</v>
      </c>
      <c r="I120" s="491"/>
      <c r="J120" s="492"/>
      <c r="K120" s="493"/>
      <c r="L120" s="493"/>
      <c r="M120" s="493"/>
      <c r="N120" s="493"/>
      <c r="O120" s="493"/>
      <c r="P120" s="493"/>
      <c r="Q120" s="493"/>
      <c r="R120" s="493"/>
      <c r="S120" s="493"/>
      <c r="T120" s="493"/>
      <c r="U120" s="493"/>
      <c r="V120" s="493"/>
      <c r="W120" s="493"/>
      <c r="X120" s="493"/>
      <c r="Y120" s="493"/>
      <c r="Z120" s="493"/>
      <c r="AA120" s="493"/>
      <c r="AB120" s="493"/>
      <c r="AC120" s="493"/>
      <c r="AD120" s="493"/>
    </row>
    <row r="121">
      <c r="A121" s="347"/>
      <c r="B121" s="323"/>
      <c r="C121" s="323"/>
      <c r="D121" s="323"/>
      <c r="E121" s="225" t="s">
        <v>123</v>
      </c>
      <c r="F121" s="428" t="s">
        <v>124</v>
      </c>
      <c r="G121" s="404">
        <v>4180.0</v>
      </c>
      <c r="H121" s="371">
        <f>G121/$G$120</f>
        <v>0.3474646717</v>
      </c>
      <c r="I121" s="459" t="s">
        <v>213</v>
      </c>
      <c r="J121" s="374"/>
      <c r="K121" s="233"/>
      <c r="L121" s="233"/>
      <c r="M121" s="233"/>
      <c r="N121" s="233"/>
      <c r="O121" s="233"/>
      <c r="P121" s="233"/>
      <c r="Q121" s="233"/>
      <c r="R121" s="233"/>
      <c r="S121" s="233"/>
      <c r="T121" s="233"/>
      <c r="U121" s="233"/>
      <c r="V121" s="233"/>
      <c r="W121" s="233"/>
      <c r="X121" s="233"/>
      <c r="Y121" s="233"/>
      <c r="Z121" s="233"/>
      <c r="AA121" s="233"/>
      <c r="AB121" s="233"/>
      <c r="AC121" s="233"/>
      <c r="AD121" s="233"/>
    </row>
    <row r="122">
      <c r="A122" s="347"/>
      <c r="B122" s="323"/>
      <c r="C122" s="323"/>
      <c r="D122" s="323"/>
      <c r="E122" s="223"/>
      <c r="F122" s="348"/>
      <c r="G122" s="434"/>
      <c r="H122" s="371"/>
      <c r="I122" s="348" t="s">
        <v>214</v>
      </c>
      <c r="J122" s="374"/>
      <c r="K122" s="233"/>
      <c r="L122" s="233"/>
      <c r="M122" s="233"/>
      <c r="N122" s="233"/>
      <c r="O122" s="233"/>
      <c r="P122" s="233"/>
      <c r="Q122" s="233"/>
      <c r="R122" s="233"/>
      <c r="S122" s="233"/>
      <c r="T122" s="233"/>
      <c r="U122" s="233"/>
      <c r="V122" s="233"/>
      <c r="W122" s="233"/>
      <c r="X122" s="233"/>
      <c r="Y122" s="233"/>
      <c r="Z122" s="233"/>
      <c r="AA122" s="233"/>
      <c r="AB122" s="233"/>
      <c r="AC122" s="233"/>
      <c r="AD122" s="233"/>
    </row>
    <row r="123">
      <c r="A123" s="347"/>
      <c r="B123" s="323"/>
      <c r="C123" s="323"/>
      <c r="D123" s="323"/>
      <c r="E123" s="223"/>
      <c r="F123" s="348"/>
      <c r="G123" s="434"/>
      <c r="H123" s="371"/>
      <c r="I123" s="459" t="s">
        <v>223</v>
      </c>
      <c r="J123" s="374"/>
      <c r="K123" s="233"/>
      <c r="L123" s="233"/>
      <c r="M123" s="233"/>
      <c r="N123" s="233"/>
      <c r="O123" s="233"/>
      <c r="P123" s="233"/>
      <c r="Q123" s="233"/>
      <c r="R123" s="233"/>
      <c r="S123" s="233"/>
      <c r="T123" s="233"/>
      <c r="U123" s="233"/>
      <c r="V123" s="233"/>
      <c r="W123" s="233"/>
      <c r="X123" s="233"/>
      <c r="Y123" s="233"/>
      <c r="Z123" s="233"/>
      <c r="AA123" s="233"/>
      <c r="AB123" s="233"/>
      <c r="AC123" s="233"/>
      <c r="AD123" s="233"/>
    </row>
    <row r="124">
      <c r="A124" s="347"/>
      <c r="B124" s="323"/>
      <c r="C124" s="323"/>
      <c r="D124" s="323"/>
      <c r="E124" s="225" t="s">
        <v>188</v>
      </c>
      <c r="F124" s="428" t="s">
        <v>189</v>
      </c>
      <c r="G124" s="404">
        <v>1650.0</v>
      </c>
      <c r="H124" s="371">
        <f>G124/$G$120</f>
        <v>0.1371571072</v>
      </c>
      <c r="I124" s="459" t="s">
        <v>224</v>
      </c>
      <c r="J124" s="337"/>
      <c r="K124" s="233"/>
      <c r="L124" s="233"/>
      <c r="M124" s="233"/>
      <c r="N124" s="233"/>
      <c r="O124" s="233"/>
      <c r="P124" s="233"/>
      <c r="Q124" s="233"/>
      <c r="R124" s="233"/>
      <c r="S124" s="233"/>
      <c r="T124" s="233"/>
      <c r="U124" s="233"/>
      <c r="V124" s="233"/>
      <c r="W124" s="233"/>
      <c r="X124" s="233"/>
      <c r="Y124" s="233"/>
      <c r="Z124" s="233"/>
      <c r="AA124" s="233"/>
      <c r="AB124" s="233"/>
      <c r="AC124" s="233"/>
      <c r="AD124" s="233"/>
    </row>
    <row r="125">
      <c r="A125" s="347"/>
      <c r="B125" s="323"/>
      <c r="C125" s="323"/>
      <c r="D125" s="323"/>
      <c r="E125" s="223"/>
      <c r="F125" s="348"/>
      <c r="G125" s="434"/>
      <c r="H125" s="371"/>
      <c r="I125" s="459" t="s">
        <v>225</v>
      </c>
      <c r="J125" s="337"/>
      <c r="K125" s="233"/>
      <c r="L125" s="233"/>
      <c r="M125" s="233"/>
      <c r="N125" s="233"/>
      <c r="O125" s="233"/>
      <c r="P125" s="233"/>
      <c r="Q125" s="233"/>
      <c r="R125" s="233"/>
      <c r="S125" s="233"/>
      <c r="T125" s="233"/>
      <c r="U125" s="233"/>
      <c r="V125" s="233"/>
      <c r="W125" s="233"/>
      <c r="X125" s="233"/>
      <c r="Y125" s="233"/>
      <c r="Z125" s="233"/>
      <c r="AA125" s="233"/>
      <c r="AB125" s="233"/>
      <c r="AC125" s="233"/>
      <c r="AD125" s="233"/>
    </row>
    <row r="126">
      <c r="A126" s="405"/>
      <c r="B126" s="494"/>
      <c r="C126" s="494"/>
      <c r="D126" s="494"/>
      <c r="E126" s="192" t="s">
        <v>148</v>
      </c>
      <c r="F126" s="406" t="s">
        <v>122</v>
      </c>
      <c r="G126" s="404">
        <v>3600.0</v>
      </c>
      <c r="H126" s="371">
        <f t="shared" ref="H126:H128" si="15">G126/$G$120</f>
        <v>0.2992518703</v>
      </c>
      <c r="I126" s="485" t="s">
        <v>226</v>
      </c>
      <c r="J126" s="495"/>
      <c r="K126" s="276"/>
      <c r="L126" s="276"/>
      <c r="M126" s="276"/>
      <c r="N126" s="276"/>
      <c r="O126" s="276"/>
      <c r="P126" s="276"/>
      <c r="Q126" s="276"/>
      <c r="R126" s="276"/>
      <c r="S126" s="276"/>
      <c r="T126" s="276"/>
      <c r="U126" s="276"/>
      <c r="V126" s="276"/>
      <c r="W126" s="276"/>
      <c r="X126" s="276"/>
      <c r="Y126" s="276"/>
      <c r="Z126" s="276"/>
      <c r="AA126" s="276"/>
      <c r="AB126" s="276"/>
      <c r="AC126" s="276"/>
      <c r="AD126" s="276"/>
    </row>
    <row r="127">
      <c r="A127" s="405"/>
      <c r="B127" s="494"/>
      <c r="C127" s="494"/>
      <c r="D127" s="494"/>
      <c r="E127" s="192" t="s">
        <v>140</v>
      </c>
      <c r="F127" s="406" t="s">
        <v>141</v>
      </c>
      <c r="G127" s="404">
        <v>2100.0</v>
      </c>
      <c r="H127" s="371">
        <f t="shared" si="15"/>
        <v>0.174563591</v>
      </c>
      <c r="I127" s="485" t="s">
        <v>197</v>
      </c>
      <c r="J127" s="495"/>
      <c r="K127" s="276"/>
      <c r="L127" s="276"/>
      <c r="M127" s="276"/>
      <c r="N127" s="276"/>
      <c r="O127" s="276"/>
      <c r="P127" s="276"/>
      <c r="Q127" s="276"/>
      <c r="R127" s="276"/>
      <c r="S127" s="276"/>
      <c r="T127" s="276"/>
      <c r="U127" s="276"/>
      <c r="V127" s="276"/>
      <c r="W127" s="276"/>
      <c r="X127" s="276"/>
      <c r="Y127" s="276"/>
      <c r="Z127" s="276"/>
      <c r="AA127" s="276"/>
      <c r="AB127" s="276"/>
      <c r="AC127" s="276"/>
      <c r="AD127" s="276"/>
    </row>
    <row r="128">
      <c r="A128" s="405"/>
      <c r="B128" s="494"/>
      <c r="C128" s="494"/>
      <c r="D128" s="494"/>
      <c r="E128" s="195" t="s">
        <v>135</v>
      </c>
      <c r="F128" s="372" t="s">
        <v>136</v>
      </c>
      <c r="G128" s="404">
        <v>500.0</v>
      </c>
      <c r="H128" s="371">
        <f t="shared" si="15"/>
        <v>0.04156275977</v>
      </c>
      <c r="I128" s="485" t="s">
        <v>222</v>
      </c>
      <c r="J128" s="495"/>
      <c r="K128" s="276"/>
      <c r="L128" s="276"/>
      <c r="M128" s="276"/>
      <c r="N128" s="276"/>
      <c r="O128" s="276"/>
      <c r="P128" s="276"/>
      <c r="Q128" s="276"/>
      <c r="R128" s="276"/>
      <c r="S128" s="276"/>
      <c r="T128" s="276"/>
      <c r="U128" s="276"/>
      <c r="V128" s="276"/>
      <c r="W128" s="276"/>
      <c r="X128" s="276"/>
      <c r="Y128" s="276"/>
      <c r="Z128" s="276"/>
      <c r="AA128" s="276"/>
      <c r="AB128" s="276"/>
      <c r="AC128" s="276"/>
      <c r="AD128" s="276"/>
    </row>
    <row r="129">
      <c r="A129" s="405"/>
      <c r="B129" s="486"/>
      <c r="C129" s="486"/>
      <c r="D129" s="487" t="s">
        <v>53</v>
      </c>
      <c r="E129" s="488"/>
      <c r="F129" s="489" t="s">
        <v>227</v>
      </c>
      <c r="G129" s="490">
        <f>G131+G133</f>
        <v>1220</v>
      </c>
      <c r="H129" s="470">
        <f>G129/$G$106</f>
        <v>0.040039383</v>
      </c>
      <c r="I129" s="491"/>
      <c r="J129" s="492"/>
      <c r="K129" s="493"/>
      <c r="L129" s="493"/>
      <c r="M129" s="493"/>
      <c r="N129" s="493"/>
      <c r="O129" s="493"/>
      <c r="P129" s="493"/>
      <c r="Q129" s="493"/>
      <c r="R129" s="493"/>
      <c r="S129" s="493"/>
      <c r="T129" s="493"/>
      <c r="U129" s="493"/>
      <c r="V129" s="493"/>
      <c r="W129" s="493"/>
      <c r="X129" s="493"/>
      <c r="Y129" s="493"/>
      <c r="Z129" s="493"/>
      <c r="AA129" s="493"/>
      <c r="AB129" s="493"/>
      <c r="AC129" s="493"/>
      <c r="AD129" s="493"/>
    </row>
    <row r="130">
      <c r="A130" s="405"/>
      <c r="B130" s="486"/>
      <c r="C130" s="486"/>
      <c r="D130" s="486"/>
      <c r="E130" s="488"/>
      <c r="F130" s="496" t="s">
        <v>228</v>
      </c>
      <c r="G130" s="497"/>
      <c r="H130" s="498"/>
      <c r="I130" s="499"/>
      <c r="J130" s="492"/>
      <c r="K130" s="493"/>
      <c r="L130" s="493"/>
      <c r="M130" s="493"/>
      <c r="N130" s="493"/>
      <c r="O130" s="493"/>
      <c r="P130" s="493"/>
      <c r="Q130" s="493"/>
      <c r="R130" s="493"/>
      <c r="S130" s="493"/>
      <c r="T130" s="493"/>
      <c r="U130" s="493"/>
      <c r="V130" s="493"/>
      <c r="W130" s="493"/>
      <c r="X130" s="493"/>
      <c r="Y130" s="493"/>
      <c r="Z130" s="493"/>
      <c r="AA130" s="493"/>
      <c r="AB130" s="493"/>
      <c r="AC130" s="493"/>
      <c r="AD130" s="493"/>
    </row>
    <row r="131">
      <c r="A131" s="405"/>
      <c r="B131" s="494"/>
      <c r="C131" s="494"/>
      <c r="D131" s="494"/>
      <c r="E131" s="192" t="s">
        <v>123</v>
      </c>
      <c r="F131" s="406" t="s">
        <v>124</v>
      </c>
      <c r="G131" s="500">
        <v>570.0</v>
      </c>
      <c r="H131" s="371">
        <f>G131/$G$129</f>
        <v>0.4672131148</v>
      </c>
      <c r="I131" s="485" t="s">
        <v>229</v>
      </c>
      <c r="J131" s="495"/>
      <c r="K131" s="276"/>
      <c r="L131" s="276"/>
      <c r="M131" s="276"/>
      <c r="N131" s="276"/>
      <c r="O131" s="276"/>
      <c r="P131" s="276"/>
      <c r="Q131" s="276"/>
      <c r="R131" s="276"/>
      <c r="S131" s="276"/>
      <c r="T131" s="276"/>
      <c r="U131" s="276"/>
      <c r="V131" s="276"/>
      <c r="W131" s="276"/>
      <c r="X131" s="276"/>
      <c r="Y131" s="276"/>
      <c r="Z131" s="276"/>
      <c r="AA131" s="276"/>
      <c r="AB131" s="276"/>
      <c r="AC131" s="276"/>
      <c r="AD131" s="276"/>
    </row>
    <row r="132">
      <c r="A132" s="405"/>
      <c r="B132" s="494"/>
      <c r="C132" s="494"/>
      <c r="D132" s="494"/>
      <c r="E132" s="192"/>
      <c r="F132" s="406"/>
      <c r="G132" s="501"/>
      <c r="H132" s="502"/>
      <c r="I132" s="485" t="s">
        <v>230</v>
      </c>
      <c r="J132" s="495"/>
      <c r="K132" s="276"/>
      <c r="L132" s="276"/>
      <c r="M132" s="276"/>
      <c r="N132" s="276"/>
      <c r="O132" s="276"/>
      <c r="P132" s="276"/>
      <c r="Q132" s="276"/>
      <c r="R132" s="276"/>
      <c r="S132" s="276"/>
      <c r="T132" s="276"/>
      <c r="U132" s="276"/>
      <c r="V132" s="276"/>
      <c r="W132" s="276"/>
      <c r="X132" s="276"/>
      <c r="Y132" s="276"/>
      <c r="Z132" s="276"/>
      <c r="AA132" s="276"/>
      <c r="AB132" s="276"/>
      <c r="AC132" s="276"/>
      <c r="AD132" s="276"/>
    </row>
    <row r="133">
      <c r="A133" s="405"/>
      <c r="B133" s="494"/>
      <c r="C133" s="494"/>
      <c r="D133" s="494"/>
      <c r="E133" s="189" t="s">
        <v>188</v>
      </c>
      <c r="F133" s="400" t="s">
        <v>189</v>
      </c>
      <c r="G133" s="404">
        <v>650.0</v>
      </c>
      <c r="H133" s="371">
        <f>G133/$G$129</f>
        <v>0.5327868852</v>
      </c>
      <c r="I133" s="485" t="s">
        <v>231</v>
      </c>
      <c r="J133" s="495"/>
      <c r="K133" s="276"/>
      <c r="L133" s="276"/>
      <c r="M133" s="276"/>
      <c r="N133" s="276"/>
      <c r="O133" s="276"/>
      <c r="P133" s="276"/>
      <c r="Q133" s="276"/>
      <c r="R133" s="276"/>
      <c r="S133" s="276"/>
      <c r="T133" s="276"/>
      <c r="U133" s="276"/>
      <c r="V133" s="276"/>
      <c r="W133" s="276"/>
      <c r="X133" s="276"/>
      <c r="Y133" s="276"/>
      <c r="Z133" s="276"/>
      <c r="AA133" s="276"/>
      <c r="AB133" s="276"/>
      <c r="AC133" s="276"/>
      <c r="AD133" s="276"/>
    </row>
    <row r="134">
      <c r="A134" s="405"/>
      <c r="B134" s="494"/>
      <c r="C134" s="494"/>
      <c r="D134" s="494"/>
      <c r="E134" s="192"/>
      <c r="F134" s="406"/>
      <c r="G134" s="503"/>
      <c r="H134" s="502"/>
      <c r="I134" s="485" t="s">
        <v>232</v>
      </c>
      <c r="J134" s="495"/>
      <c r="K134" s="276"/>
      <c r="L134" s="276"/>
      <c r="M134" s="276"/>
      <c r="N134" s="276"/>
      <c r="O134" s="276"/>
      <c r="P134" s="276"/>
      <c r="Q134" s="276"/>
      <c r="R134" s="276"/>
      <c r="S134" s="276"/>
      <c r="T134" s="276"/>
      <c r="U134" s="276"/>
      <c r="V134" s="276"/>
      <c r="W134" s="276"/>
      <c r="X134" s="276"/>
      <c r="Y134" s="276"/>
      <c r="Z134" s="276"/>
      <c r="AA134" s="276"/>
      <c r="AB134" s="276"/>
      <c r="AC134" s="276"/>
      <c r="AD134" s="276"/>
    </row>
    <row r="135">
      <c r="A135" s="405"/>
      <c r="B135" s="486"/>
      <c r="C135" s="486"/>
      <c r="D135" s="487" t="s">
        <v>55</v>
      </c>
      <c r="E135" s="488"/>
      <c r="F135" s="489" t="s">
        <v>71</v>
      </c>
      <c r="G135" s="490">
        <f>SUM(G136:G137)</f>
        <v>4310</v>
      </c>
      <c r="H135" s="470">
        <f>G135/$G$106</f>
        <v>0.1414506072</v>
      </c>
      <c r="I135" s="491"/>
      <c r="J135" s="492"/>
      <c r="K135" s="493"/>
      <c r="L135" s="493"/>
      <c r="M135" s="493"/>
      <c r="N135" s="493"/>
      <c r="O135" s="493"/>
      <c r="P135" s="493"/>
      <c r="Q135" s="493"/>
      <c r="R135" s="493"/>
      <c r="S135" s="493"/>
      <c r="T135" s="493"/>
      <c r="U135" s="493"/>
      <c r="V135" s="493"/>
      <c r="W135" s="493"/>
      <c r="X135" s="493"/>
      <c r="Y135" s="493"/>
      <c r="Z135" s="493"/>
      <c r="AA135" s="493"/>
      <c r="AB135" s="493"/>
      <c r="AC135" s="493"/>
      <c r="AD135" s="493"/>
    </row>
    <row r="136">
      <c r="A136" s="405"/>
      <c r="B136" s="494"/>
      <c r="C136" s="494"/>
      <c r="D136" s="494"/>
      <c r="E136" s="192" t="s">
        <v>123</v>
      </c>
      <c r="F136" s="406" t="s">
        <v>124</v>
      </c>
      <c r="G136" s="404">
        <v>1710.0</v>
      </c>
      <c r="H136" s="371">
        <f t="shared" ref="H136:H137" si="16">G136/$G$135</f>
        <v>0.3967517401</v>
      </c>
      <c r="I136" s="406" t="s">
        <v>233</v>
      </c>
      <c r="J136" s="495"/>
      <c r="K136" s="276"/>
      <c r="L136" s="276"/>
      <c r="M136" s="276"/>
      <c r="N136" s="276"/>
      <c r="O136" s="276"/>
      <c r="P136" s="276"/>
      <c r="Q136" s="276"/>
      <c r="R136" s="276"/>
      <c r="S136" s="276"/>
      <c r="T136" s="276"/>
      <c r="U136" s="276"/>
      <c r="V136" s="276"/>
      <c r="W136" s="276"/>
      <c r="X136" s="276"/>
      <c r="Y136" s="276"/>
      <c r="Z136" s="276"/>
      <c r="AA136" s="276"/>
      <c r="AB136" s="276"/>
      <c r="AC136" s="276"/>
      <c r="AD136" s="276"/>
    </row>
    <row r="137">
      <c r="A137" s="405"/>
      <c r="B137" s="494"/>
      <c r="C137" s="494"/>
      <c r="D137" s="494"/>
      <c r="E137" s="192" t="s">
        <v>188</v>
      </c>
      <c r="F137" s="406" t="s">
        <v>189</v>
      </c>
      <c r="G137" s="427">
        <v>2600.0</v>
      </c>
      <c r="H137" s="371">
        <f t="shared" si="16"/>
        <v>0.6032482599</v>
      </c>
      <c r="I137" s="406" t="s">
        <v>234</v>
      </c>
      <c r="J137" s="495"/>
      <c r="K137" s="276"/>
      <c r="L137" s="276"/>
      <c r="M137" s="276"/>
      <c r="N137" s="276"/>
      <c r="O137" s="276"/>
      <c r="P137" s="276"/>
      <c r="Q137" s="276"/>
      <c r="R137" s="276"/>
      <c r="S137" s="276"/>
      <c r="T137" s="276"/>
      <c r="U137" s="276"/>
      <c r="V137" s="276"/>
      <c r="W137" s="276"/>
      <c r="X137" s="276"/>
      <c r="Y137" s="276"/>
      <c r="Z137" s="276"/>
      <c r="AA137" s="276"/>
      <c r="AB137" s="276"/>
      <c r="AC137" s="276"/>
      <c r="AD137" s="276"/>
    </row>
    <row r="138">
      <c r="A138" s="405"/>
      <c r="B138" s="494"/>
      <c r="C138" s="494"/>
      <c r="D138" s="494"/>
      <c r="E138" s="192"/>
      <c r="F138" s="406"/>
      <c r="G138" s="501"/>
      <c r="H138" s="502"/>
      <c r="I138" s="372" t="s">
        <v>235</v>
      </c>
      <c r="J138" s="495"/>
      <c r="K138" s="276"/>
      <c r="L138" s="276"/>
      <c r="M138" s="276"/>
      <c r="N138" s="276"/>
      <c r="O138" s="276"/>
      <c r="P138" s="276"/>
      <c r="Q138" s="276"/>
      <c r="R138" s="276"/>
      <c r="S138" s="276"/>
      <c r="T138" s="276"/>
      <c r="U138" s="276"/>
      <c r="V138" s="276"/>
      <c r="W138" s="276"/>
      <c r="X138" s="276"/>
      <c r="Y138" s="276"/>
      <c r="Z138" s="276"/>
      <c r="AA138" s="276"/>
      <c r="AB138" s="276"/>
      <c r="AC138" s="276"/>
      <c r="AD138" s="276"/>
    </row>
    <row r="139">
      <c r="A139" s="347"/>
      <c r="B139" s="323"/>
      <c r="C139" s="323"/>
      <c r="D139" s="323"/>
      <c r="E139" s="223"/>
      <c r="F139" s="269"/>
      <c r="G139" s="434"/>
      <c r="H139" s="371"/>
      <c r="I139" s="336"/>
      <c r="J139" s="337"/>
      <c r="K139" s="233"/>
      <c r="L139" s="233"/>
      <c r="M139" s="233"/>
      <c r="N139" s="233"/>
      <c r="O139" s="233"/>
      <c r="P139" s="233"/>
      <c r="Q139" s="233"/>
      <c r="R139" s="233"/>
      <c r="S139" s="233"/>
      <c r="T139" s="233"/>
      <c r="U139" s="233"/>
      <c r="V139" s="233"/>
      <c r="W139" s="233"/>
      <c r="X139" s="233"/>
      <c r="Y139" s="233"/>
      <c r="Z139" s="233"/>
      <c r="AA139" s="233"/>
      <c r="AB139" s="233"/>
      <c r="AC139" s="233"/>
      <c r="AD139" s="233"/>
    </row>
    <row r="140">
      <c r="A140" s="347"/>
      <c r="B140" s="394"/>
      <c r="C140" s="394" t="s">
        <v>51</v>
      </c>
      <c r="D140" s="394" t="s">
        <v>47</v>
      </c>
      <c r="E140" s="395"/>
      <c r="F140" s="396" t="s">
        <v>236</v>
      </c>
      <c r="G140" s="422">
        <f>G141+G144+G153+G157</f>
        <v>56050</v>
      </c>
      <c r="H140" s="365">
        <f>G140/$G$73</f>
        <v>0.2573331925</v>
      </c>
      <c r="I140" s="366"/>
      <c r="J140" s="411"/>
      <c r="K140" s="412"/>
      <c r="L140" s="412"/>
      <c r="M140" s="412"/>
      <c r="N140" s="412"/>
      <c r="O140" s="412"/>
      <c r="P140" s="412"/>
      <c r="Q140" s="412"/>
      <c r="R140" s="412"/>
      <c r="S140" s="412"/>
      <c r="T140" s="412"/>
      <c r="U140" s="412"/>
      <c r="V140" s="412"/>
      <c r="W140" s="412"/>
      <c r="X140" s="412"/>
      <c r="Y140" s="412"/>
      <c r="Z140" s="412"/>
      <c r="AA140" s="412"/>
      <c r="AB140" s="412"/>
      <c r="AC140" s="412"/>
      <c r="AD140" s="412"/>
    </row>
    <row r="141">
      <c r="A141" s="504"/>
      <c r="B141" s="486"/>
      <c r="C141" s="486"/>
      <c r="D141" s="505" t="s">
        <v>46</v>
      </c>
      <c r="E141" s="488"/>
      <c r="F141" s="506" t="s">
        <v>48</v>
      </c>
      <c r="G141" s="497">
        <f>G142</f>
        <v>2500</v>
      </c>
      <c r="H141" s="498">
        <f>G141/$G$140</f>
        <v>0.04460303301</v>
      </c>
      <c r="I141" s="484"/>
      <c r="J141" s="492"/>
      <c r="K141" s="493"/>
      <c r="L141" s="493"/>
      <c r="M141" s="493"/>
      <c r="N141" s="493"/>
      <c r="O141" s="493"/>
      <c r="P141" s="493"/>
      <c r="Q141" s="493"/>
      <c r="R141" s="493"/>
      <c r="S141" s="493"/>
      <c r="T141" s="493"/>
      <c r="U141" s="493"/>
      <c r="V141" s="493"/>
      <c r="W141" s="493"/>
      <c r="X141" s="493"/>
      <c r="Y141" s="493"/>
      <c r="Z141" s="493"/>
      <c r="AA141" s="493"/>
      <c r="AB141" s="493"/>
      <c r="AC141" s="493"/>
      <c r="AD141" s="493"/>
    </row>
    <row r="142">
      <c r="A142" s="192"/>
      <c r="B142" s="494"/>
      <c r="C142" s="494"/>
      <c r="D142" s="192"/>
      <c r="E142" s="189" t="s">
        <v>126</v>
      </c>
      <c r="F142" s="400" t="s">
        <v>127</v>
      </c>
      <c r="G142" s="427">
        <v>2500.0</v>
      </c>
      <c r="H142" s="502">
        <f>G142/G141</f>
        <v>1</v>
      </c>
      <c r="I142" s="459" t="s">
        <v>237</v>
      </c>
      <c r="J142" s="475"/>
      <c r="K142" s="276"/>
      <c r="L142" s="276"/>
      <c r="M142" s="276"/>
      <c r="N142" s="276"/>
      <c r="O142" s="276"/>
      <c r="P142" s="276"/>
      <c r="Q142" s="276"/>
      <c r="R142" s="276"/>
      <c r="S142" s="276"/>
      <c r="T142" s="276"/>
      <c r="U142" s="276"/>
      <c r="V142" s="276"/>
      <c r="W142" s="276"/>
      <c r="X142" s="276"/>
      <c r="Y142" s="276"/>
      <c r="Z142" s="276"/>
      <c r="AA142" s="276"/>
      <c r="AB142" s="276"/>
      <c r="AC142" s="276"/>
      <c r="AD142" s="276"/>
    </row>
    <row r="143">
      <c r="A143" s="405"/>
      <c r="B143" s="494"/>
      <c r="C143" s="494"/>
      <c r="D143" s="494"/>
      <c r="E143" s="192"/>
      <c r="F143" s="406"/>
      <c r="G143" s="503"/>
      <c r="H143" s="502"/>
      <c r="I143" s="485"/>
      <c r="J143" s="495"/>
      <c r="K143" s="276"/>
      <c r="L143" s="276"/>
      <c r="M143" s="276"/>
      <c r="N143" s="276"/>
      <c r="O143" s="276"/>
      <c r="P143" s="276"/>
      <c r="Q143" s="276"/>
      <c r="R143" s="276"/>
      <c r="S143" s="276"/>
      <c r="T143" s="276"/>
      <c r="U143" s="276"/>
      <c r="V143" s="276"/>
      <c r="W143" s="276"/>
      <c r="X143" s="276"/>
      <c r="Y143" s="276"/>
      <c r="Z143" s="276"/>
      <c r="AA143" s="276"/>
      <c r="AB143" s="276"/>
      <c r="AC143" s="276"/>
      <c r="AD143" s="276"/>
    </row>
    <row r="144">
      <c r="A144" s="405"/>
      <c r="B144" s="486"/>
      <c r="C144" s="486"/>
      <c r="D144" s="487" t="s">
        <v>49</v>
      </c>
      <c r="E144" s="488"/>
      <c r="F144" s="489" t="s">
        <v>238</v>
      </c>
      <c r="G144" s="490">
        <f>SUM(G146:G152)</f>
        <v>10310</v>
      </c>
      <c r="H144" s="470">
        <f>G144/$G$140</f>
        <v>0.1839429081</v>
      </c>
      <c r="I144" s="491"/>
      <c r="J144" s="492"/>
      <c r="K144" s="493"/>
      <c r="L144" s="493"/>
      <c r="M144" s="493"/>
      <c r="N144" s="493"/>
      <c r="O144" s="493"/>
      <c r="P144" s="493"/>
      <c r="Q144" s="493"/>
      <c r="R144" s="493"/>
      <c r="S144" s="493"/>
      <c r="T144" s="493"/>
      <c r="U144" s="493"/>
      <c r="V144" s="493"/>
      <c r="W144" s="493"/>
      <c r="X144" s="493"/>
      <c r="Y144" s="493"/>
      <c r="Z144" s="493"/>
      <c r="AA144" s="493"/>
      <c r="AB144" s="493"/>
      <c r="AC144" s="493"/>
      <c r="AD144" s="493"/>
    </row>
    <row r="145">
      <c r="A145" s="192"/>
      <c r="B145" s="486"/>
      <c r="C145" s="486"/>
      <c r="D145" s="488"/>
      <c r="E145" s="488"/>
      <c r="F145" s="496" t="s">
        <v>239</v>
      </c>
      <c r="G145" s="507"/>
      <c r="H145" s="498"/>
      <c r="I145" s="483"/>
      <c r="J145" s="508"/>
      <c r="K145" s="493"/>
      <c r="L145" s="493"/>
      <c r="M145" s="493"/>
      <c r="N145" s="493"/>
      <c r="O145" s="493"/>
      <c r="P145" s="493"/>
      <c r="Q145" s="493"/>
      <c r="R145" s="493"/>
      <c r="S145" s="493"/>
      <c r="T145" s="493"/>
      <c r="U145" s="493"/>
      <c r="V145" s="493"/>
      <c r="W145" s="493"/>
      <c r="X145" s="493"/>
      <c r="Y145" s="493"/>
      <c r="Z145" s="493"/>
      <c r="AA145" s="493"/>
      <c r="AB145" s="493"/>
      <c r="AC145" s="493"/>
      <c r="AD145" s="493"/>
    </row>
    <row r="146">
      <c r="A146" s="192"/>
      <c r="B146" s="494"/>
      <c r="C146" s="494"/>
      <c r="D146" s="192"/>
      <c r="E146" s="192" t="s">
        <v>123</v>
      </c>
      <c r="F146" s="406" t="s">
        <v>124</v>
      </c>
      <c r="G146" s="404">
        <v>3610.0</v>
      </c>
      <c r="H146" s="371">
        <f>G146/$G$144</f>
        <v>0.3501454898</v>
      </c>
      <c r="I146" s="406" t="s">
        <v>240</v>
      </c>
      <c r="J146" s="475"/>
      <c r="K146" s="276"/>
      <c r="L146" s="276"/>
      <c r="M146" s="276"/>
      <c r="N146" s="276"/>
      <c r="O146" s="276"/>
      <c r="P146" s="276"/>
      <c r="Q146" s="276"/>
      <c r="R146" s="276"/>
      <c r="S146" s="276"/>
      <c r="T146" s="276"/>
      <c r="U146" s="276"/>
      <c r="V146" s="276"/>
      <c r="W146" s="276"/>
      <c r="X146" s="276"/>
      <c r="Y146" s="276"/>
      <c r="Z146" s="276"/>
      <c r="AA146" s="276"/>
      <c r="AB146" s="276"/>
      <c r="AC146" s="276"/>
      <c r="AD146" s="276"/>
    </row>
    <row r="147">
      <c r="A147" s="192"/>
      <c r="B147" s="494"/>
      <c r="C147" s="494"/>
      <c r="D147" s="192"/>
      <c r="E147" s="189"/>
      <c r="F147" s="406"/>
      <c r="G147" s="501"/>
      <c r="H147" s="371"/>
      <c r="I147" s="485" t="s">
        <v>241</v>
      </c>
      <c r="J147" s="475"/>
      <c r="K147" s="276"/>
      <c r="L147" s="276"/>
      <c r="M147" s="276"/>
      <c r="N147" s="276"/>
      <c r="O147" s="276"/>
      <c r="P147" s="276"/>
      <c r="Q147" s="276"/>
      <c r="R147" s="276"/>
      <c r="S147" s="276"/>
      <c r="T147" s="276"/>
      <c r="U147" s="276"/>
      <c r="V147" s="276"/>
      <c r="W147" s="276"/>
      <c r="X147" s="276"/>
      <c r="Y147" s="276"/>
      <c r="Z147" s="276"/>
      <c r="AA147" s="276"/>
      <c r="AB147" s="276"/>
      <c r="AC147" s="276"/>
      <c r="AD147" s="276"/>
    </row>
    <row r="148">
      <c r="A148" s="192"/>
      <c r="B148" s="494"/>
      <c r="C148" s="494"/>
      <c r="D148" s="192"/>
      <c r="E148" s="192"/>
      <c r="F148" s="406"/>
      <c r="G148" s="501"/>
      <c r="H148" s="371"/>
      <c r="I148" s="485" t="s">
        <v>242</v>
      </c>
      <c r="J148" s="475"/>
      <c r="K148" s="276"/>
      <c r="L148" s="276"/>
      <c r="M148" s="276"/>
      <c r="N148" s="276"/>
      <c r="O148" s="276"/>
      <c r="P148" s="276"/>
      <c r="Q148" s="276"/>
      <c r="R148" s="276"/>
      <c r="S148" s="276"/>
      <c r="T148" s="276"/>
      <c r="U148" s="276"/>
      <c r="V148" s="276"/>
      <c r="W148" s="276"/>
      <c r="X148" s="276"/>
      <c r="Y148" s="276"/>
      <c r="Z148" s="276"/>
      <c r="AA148" s="276"/>
      <c r="AB148" s="276"/>
      <c r="AC148" s="276"/>
      <c r="AD148" s="276"/>
    </row>
    <row r="149">
      <c r="A149" s="192"/>
      <c r="B149" s="494"/>
      <c r="C149" s="494"/>
      <c r="D149" s="192"/>
      <c r="E149" s="197" t="s">
        <v>188</v>
      </c>
      <c r="F149" s="372" t="s">
        <v>189</v>
      </c>
      <c r="G149" s="404">
        <v>3900.0</v>
      </c>
      <c r="H149" s="371">
        <f>G149/$G$144</f>
        <v>0.3782735209</v>
      </c>
      <c r="I149" s="485" t="s">
        <v>243</v>
      </c>
      <c r="J149" s="475"/>
      <c r="K149" s="276"/>
      <c r="L149" s="276"/>
      <c r="M149" s="276"/>
      <c r="N149" s="276"/>
      <c r="O149" s="276"/>
      <c r="P149" s="276"/>
      <c r="Q149" s="276"/>
      <c r="R149" s="276"/>
      <c r="S149" s="276"/>
      <c r="T149" s="276"/>
      <c r="U149" s="276"/>
      <c r="V149" s="276"/>
      <c r="W149" s="276"/>
      <c r="X149" s="276"/>
      <c r="Y149" s="276"/>
      <c r="Z149" s="276"/>
      <c r="AA149" s="276"/>
      <c r="AB149" s="276"/>
      <c r="AC149" s="276"/>
      <c r="AD149" s="276"/>
    </row>
    <row r="150">
      <c r="A150" s="192"/>
      <c r="B150" s="494"/>
      <c r="C150" s="494"/>
      <c r="D150" s="192"/>
      <c r="E150" s="192"/>
      <c r="F150" s="406"/>
      <c r="G150" s="503"/>
      <c r="H150" s="502"/>
      <c r="I150" s="406" t="s">
        <v>244</v>
      </c>
      <c r="J150" s="475"/>
      <c r="K150" s="276"/>
      <c r="L150" s="276"/>
      <c r="M150" s="276"/>
      <c r="N150" s="276"/>
      <c r="O150" s="276"/>
      <c r="P150" s="276"/>
      <c r="Q150" s="276"/>
      <c r="R150" s="276"/>
      <c r="S150" s="276"/>
      <c r="T150" s="276"/>
      <c r="U150" s="276"/>
      <c r="V150" s="276"/>
      <c r="W150" s="276"/>
      <c r="X150" s="276"/>
      <c r="Y150" s="276"/>
      <c r="Z150" s="276"/>
      <c r="AA150" s="276"/>
      <c r="AB150" s="276"/>
      <c r="AC150" s="276"/>
      <c r="AD150" s="276"/>
    </row>
    <row r="151">
      <c r="A151" s="192"/>
      <c r="B151" s="494"/>
      <c r="C151" s="494"/>
      <c r="D151" s="192"/>
      <c r="E151" s="192" t="s">
        <v>140</v>
      </c>
      <c r="F151" s="406" t="s">
        <v>141</v>
      </c>
      <c r="G151" s="404">
        <v>2000.0</v>
      </c>
      <c r="H151" s="371">
        <f t="shared" ref="H151:H152" si="17">G151/$G$144</f>
        <v>0.193986421</v>
      </c>
      <c r="I151" s="406" t="s">
        <v>245</v>
      </c>
      <c r="J151" s="475"/>
      <c r="K151" s="276"/>
      <c r="L151" s="276"/>
      <c r="M151" s="276"/>
      <c r="N151" s="276"/>
      <c r="O151" s="276"/>
      <c r="P151" s="276"/>
      <c r="Q151" s="276"/>
      <c r="R151" s="276"/>
      <c r="S151" s="276"/>
      <c r="T151" s="276"/>
      <c r="U151" s="276"/>
      <c r="V151" s="276"/>
      <c r="W151" s="276"/>
      <c r="X151" s="276"/>
      <c r="Y151" s="276"/>
      <c r="Z151" s="276"/>
      <c r="AA151" s="276"/>
      <c r="AB151" s="276"/>
      <c r="AC151" s="276"/>
      <c r="AD151" s="276"/>
    </row>
    <row r="152">
      <c r="A152" s="347"/>
      <c r="B152" s="323"/>
      <c r="C152" s="323"/>
      <c r="D152" s="323"/>
      <c r="E152" s="189" t="s">
        <v>246</v>
      </c>
      <c r="F152" s="400" t="s">
        <v>247</v>
      </c>
      <c r="G152" s="401">
        <v>800.0</v>
      </c>
      <c r="H152" s="371">
        <f t="shared" si="17"/>
        <v>0.07759456838</v>
      </c>
      <c r="I152" s="406" t="s">
        <v>248</v>
      </c>
      <c r="J152" s="337"/>
      <c r="K152" s="233"/>
      <c r="L152" s="233"/>
      <c r="M152" s="233"/>
      <c r="N152" s="233"/>
      <c r="O152" s="233"/>
      <c r="P152" s="233"/>
      <c r="Q152" s="233"/>
      <c r="R152" s="233"/>
      <c r="S152" s="233"/>
      <c r="T152" s="233"/>
      <c r="U152" s="233"/>
      <c r="V152" s="233"/>
      <c r="W152" s="233"/>
      <c r="X152" s="233"/>
      <c r="Y152" s="233"/>
      <c r="Z152" s="233"/>
      <c r="AA152" s="233"/>
      <c r="AB152" s="233"/>
      <c r="AC152" s="233"/>
      <c r="AD152" s="233"/>
    </row>
    <row r="153">
      <c r="A153" s="488"/>
      <c r="B153" s="486"/>
      <c r="C153" s="486"/>
      <c r="D153" s="509" t="s">
        <v>51</v>
      </c>
      <c r="E153" s="488"/>
      <c r="F153" s="506" t="s">
        <v>74</v>
      </c>
      <c r="G153" s="507">
        <f>SUM(G154:G155)</f>
        <v>2250</v>
      </c>
      <c r="H153" s="470">
        <f>G153/$G$140</f>
        <v>0.04014272971</v>
      </c>
      <c r="I153" s="499"/>
      <c r="J153" s="508"/>
      <c r="K153" s="493"/>
      <c r="L153" s="493"/>
      <c r="M153" s="493"/>
      <c r="N153" s="493"/>
      <c r="O153" s="493"/>
      <c r="P153" s="493"/>
      <c r="Q153" s="493"/>
      <c r="R153" s="493"/>
      <c r="S153" s="493"/>
      <c r="T153" s="493"/>
      <c r="U153" s="493"/>
      <c r="V153" s="493"/>
      <c r="W153" s="493"/>
      <c r="X153" s="493"/>
      <c r="Y153" s="493"/>
      <c r="Z153" s="493"/>
      <c r="AA153" s="493"/>
      <c r="AB153" s="493"/>
      <c r="AC153" s="493"/>
      <c r="AD153" s="493"/>
    </row>
    <row r="154">
      <c r="A154" s="192"/>
      <c r="B154" s="494"/>
      <c r="C154" s="494"/>
      <c r="D154" s="192"/>
      <c r="E154" s="189" t="s">
        <v>123</v>
      </c>
      <c r="F154" s="400" t="s">
        <v>124</v>
      </c>
      <c r="G154" s="404">
        <v>950.0</v>
      </c>
      <c r="H154" s="371">
        <f t="shared" ref="H154:H155" si="18">G154/$G$153</f>
        <v>0.4222222222</v>
      </c>
      <c r="I154" s="406" t="s">
        <v>249</v>
      </c>
      <c r="J154" s="475"/>
      <c r="K154" s="276"/>
      <c r="L154" s="276"/>
      <c r="M154" s="276"/>
      <c r="N154" s="276"/>
      <c r="O154" s="276"/>
      <c r="P154" s="276"/>
      <c r="Q154" s="276"/>
      <c r="R154" s="276"/>
      <c r="S154" s="276"/>
      <c r="T154" s="276"/>
      <c r="U154" s="276"/>
      <c r="V154" s="276"/>
      <c r="W154" s="276"/>
      <c r="X154" s="276"/>
      <c r="Y154" s="276"/>
      <c r="Z154" s="276"/>
      <c r="AA154" s="276"/>
      <c r="AB154" s="276"/>
      <c r="AC154" s="276"/>
      <c r="AD154" s="276"/>
    </row>
    <row r="155">
      <c r="A155" s="347"/>
      <c r="B155" s="323"/>
      <c r="C155" s="323"/>
      <c r="D155" s="223"/>
      <c r="E155" s="189" t="s">
        <v>188</v>
      </c>
      <c r="F155" s="400" t="s">
        <v>189</v>
      </c>
      <c r="G155" s="404">
        <v>1300.0</v>
      </c>
      <c r="H155" s="371">
        <f t="shared" si="18"/>
        <v>0.5777777778</v>
      </c>
      <c r="I155" s="485" t="s">
        <v>217</v>
      </c>
      <c r="J155" s="233"/>
      <c r="K155" s="233"/>
      <c r="L155" s="233"/>
      <c r="M155" s="233"/>
      <c r="N155" s="233"/>
      <c r="O155" s="233"/>
      <c r="P155" s="233"/>
      <c r="Q155" s="233"/>
      <c r="R155" s="233"/>
      <c r="S155" s="233"/>
      <c r="T155" s="233"/>
      <c r="U155" s="233"/>
      <c r="V155" s="233"/>
      <c r="W155" s="233"/>
      <c r="X155" s="233"/>
      <c r="Y155" s="233"/>
      <c r="Z155" s="233"/>
      <c r="AA155" s="233"/>
      <c r="AB155" s="233"/>
      <c r="AC155" s="233"/>
      <c r="AD155" s="233"/>
    </row>
    <row r="156">
      <c r="A156" s="347"/>
      <c r="B156" s="323"/>
      <c r="C156" s="323"/>
      <c r="D156" s="223"/>
      <c r="E156" s="223"/>
      <c r="F156" s="348"/>
      <c r="G156" s="510"/>
      <c r="H156" s="371"/>
      <c r="I156" s="485" t="s">
        <v>218</v>
      </c>
      <c r="J156" s="233"/>
      <c r="K156" s="233"/>
      <c r="L156" s="233"/>
      <c r="M156" s="233"/>
      <c r="N156" s="233"/>
      <c r="O156" s="233"/>
      <c r="P156" s="233"/>
      <c r="Q156" s="233"/>
      <c r="R156" s="233"/>
      <c r="S156" s="233"/>
      <c r="T156" s="233"/>
      <c r="U156" s="233"/>
      <c r="V156" s="233"/>
      <c r="W156" s="233"/>
      <c r="X156" s="233"/>
      <c r="Y156" s="233"/>
      <c r="Z156" s="233"/>
      <c r="AA156" s="233"/>
      <c r="AB156" s="233"/>
      <c r="AC156" s="233"/>
      <c r="AD156" s="233"/>
    </row>
    <row r="157">
      <c r="A157" s="460"/>
      <c r="B157" s="461"/>
      <c r="C157" s="461"/>
      <c r="D157" s="511" t="s">
        <v>53</v>
      </c>
      <c r="E157" s="512"/>
      <c r="F157" s="506" t="s">
        <v>115</v>
      </c>
      <c r="G157" s="507">
        <f>SUM(G159:G170)</f>
        <v>40990</v>
      </c>
      <c r="H157" s="470">
        <f>G157/$G$140</f>
        <v>0.7313113292</v>
      </c>
      <c r="I157" s="499"/>
      <c r="J157" s="466"/>
      <c r="K157" s="466"/>
      <c r="L157" s="466"/>
      <c r="M157" s="466"/>
      <c r="N157" s="466"/>
      <c r="O157" s="466"/>
      <c r="P157" s="466"/>
      <c r="Q157" s="466"/>
      <c r="R157" s="466"/>
      <c r="S157" s="466"/>
      <c r="T157" s="466"/>
      <c r="U157" s="466"/>
      <c r="V157" s="466"/>
      <c r="W157" s="466"/>
      <c r="X157" s="466"/>
      <c r="Y157" s="466"/>
      <c r="Z157" s="466"/>
      <c r="AA157" s="466"/>
      <c r="AB157" s="466"/>
      <c r="AC157" s="466"/>
      <c r="AD157" s="466"/>
    </row>
    <row r="158">
      <c r="A158" s="460"/>
      <c r="B158" s="461"/>
      <c r="C158" s="461"/>
      <c r="D158" s="511"/>
      <c r="E158" s="512"/>
      <c r="F158" s="506" t="s">
        <v>116</v>
      </c>
      <c r="G158" s="507"/>
      <c r="H158" s="470"/>
      <c r="I158" s="499"/>
      <c r="J158" s="466"/>
      <c r="K158" s="466"/>
      <c r="L158" s="466"/>
      <c r="M158" s="466"/>
      <c r="N158" s="466"/>
      <c r="O158" s="466"/>
      <c r="P158" s="466"/>
      <c r="Q158" s="466"/>
      <c r="R158" s="466"/>
      <c r="S158" s="466"/>
      <c r="T158" s="466"/>
      <c r="U158" s="466"/>
      <c r="V158" s="466"/>
      <c r="W158" s="466"/>
      <c r="X158" s="466"/>
      <c r="Y158" s="466"/>
      <c r="Z158" s="466"/>
      <c r="AA158" s="466"/>
      <c r="AB158" s="466"/>
      <c r="AC158" s="466"/>
      <c r="AD158" s="466"/>
    </row>
    <row r="159">
      <c r="A159" s="347"/>
      <c r="B159" s="323"/>
      <c r="C159" s="323"/>
      <c r="D159" s="223"/>
      <c r="E159" s="189" t="s">
        <v>123</v>
      </c>
      <c r="F159" s="400" t="s">
        <v>124</v>
      </c>
      <c r="G159" s="404">
        <v>2280.0</v>
      </c>
      <c r="H159" s="371">
        <f>G159/$G$157</f>
        <v>0.05562332276</v>
      </c>
      <c r="I159" s="485" t="s">
        <v>240</v>
      </c>
      <c r="J159" s="233"/>
      <c r="K159" s="233"/>
      <c r="L159" s="233"/>
      <c r="M159" s="233"/>
      <c r="N159" s="233"/>
      <c r="O159" s="233"/>
      <c r="P159" s="233"/>
      <c r="Q159" s="233"/>
      <c r="R159" s="233"/>
      <c r="S159" s="233"/>
      <c r="T159" s="233"/>
      <c r="U159" s="233"/>
      <c r="V159" s="233"/>
      <c r="W159" s="233"/>
      <c r="X159" s="233"/>
      <c r="Y159" s="233"/>
      <c r="Z159" s="233"/>
      <c r="AA159" s="233"/>
      <c r="AB159" s="233"/>
      <c r="AC159" s="233"/>
      <c r="AD159" s="233"/>
    </row>
    <row r="160">
      <c r="A160" s="347"/>
      <c r="B160" s="323"/>
      <c r="C160" s="323"/>
      <c r="D160" s="223"/>
      <c r="E160" s="190"/>
      <c r="F160" s="283"/>
      <c r="G160" s="501"/>
      <c r="H160" s="371"/>
      <c r="I160" s="485" t="s">
        <v>250</v>
      </c>
      <c r="J160" s="233"/>
      <c r="K160" s="233"/>
      <c r="L160" s="233"/>
      <c r="M160" s="233"/>
      <c r="N160" s="233"/>
      <c r="O160" s="233"/>
      <c r="P160" s="233"/>
      <c r="Q160" s="233"/>
      <c r="R160" s="233"/>
      <c r="S160" s="233"/>
      <c r="T160" s="233"/>
      <c r="U160" s="233"/>
      <c r="V160" s="233"/>
      <c r="W160" s="233"/>
      <c r="X160" s="233"/>
      <c r="Y160" s="233"/>
      <c r="Z160" s="233"/>
      <c r="AA160" s="233"/>
      <c r="AB160" s="233"/>
      <c r="AC160" s="233"/>
      <c r="AD160" s="233"/>
    </row>
    <row r="161">
      <c r="A161" s="347"/>
      <c r="B161" s="323"/>
      <c r="C161" s="323"/>
      <c r="D161" s="223"/>
      <c r="E161" s="189" t="s">
        <v>188</v>
      </c>
      <c r="F161" s="400" t="s">
        <v>189</v>
      </c>
      <c r="G161" s="404">
        <v>3900.0</v>
      </c>
      <c r="H161" s="371">
        <f>G161/$G$157</f>
        <v>0.09514515736</v>
      </c>
      <c r="I161" s="485" t="s">
        <v>243</v>
      </c>
      <c r="J161" s="233"/>
      <c r="K161" s="233"/>
      <c r="L161" s="233"/>
      <c r="M161" s="233"/>
      <c r="N161" s="233"/>
      <c r="O161" s="233"/>
      <c r="P161" s="233"/>
      <c r="Q161" s="233"/>
      <c r="R161" s="233"/>
      <c r="S161" s="233"/>
      <c r="T161" s="233"/>
      <c r="U161" s="233"/>
      <c r="V161" s="233"/>
      <c r="W161" s="233"/>
      <c r="X161" s="233"/>
      <c r="Y161" s="233"/>
      <c r="Z161" s="233"/>
      <c r="AA161" s="233"/>
      <c r="AB161" s="233"/>
      <c r="AC161" s="233"/>
      <c r="AD161" s="233"/>
    </row>
    <row r="162">
      <c r="A162" s="347"/>
      <c r="B162" s="323"/>
      <c r="C162" s="323"/>
      <c r="D162" s="223"/>
      <c r="E162" s="190"/>
      <c r="F162" s="283"/>
      <c r="G162" s="501"/>
      <c r="H162" s="371"/>
      <c r="I162" s="485" t="s">
        <v>244</v>
      </c>
      <c r="J162" s="233"/>
      <c r="K162" s="233"/>
      <c r="L162" s="233"/>
      <c r="M162" s="233"/>
      <c r="N162" s="233"/>
      <c r="O162" s="233"/>
      <c r="P162" s="233"/>
      <c r="Q162" s="233"/>
      <c r="R162" s="233"/>
      <c r="S162" s="233"/>
      <c r="T162" s="233"/>
      <c r="U162" s="233"/>
      <c r="V162" s="233"/>
      <c r="W162" s="233"/>
      <c r="X162" s="233"/>
      <c r="Y162" s="233"/>
      <c r="Z162" s="233"/>
      <c r="AA162" s="233"/>
      <c r="AB162" s="233"/>
      <c r="AC162" s="233"/>
      <c r="AD162" s="233"/>
    </row>
    <row r="163">
      <c r="A163" s="347"/>
      <c r="B163" s="323"/>
      <c r="C163" s="323"/>
      <c r="D163" s="223"/>
      <c r="E163" s="189" t="s">
        <v>148</v>
      </c>
      <c r="F163" s="400" t="s">
        <v>122</v>
      </c>
      <c r="G163" s="404">
        <v>13000.0</v>
      </c>
      <c r="H163" s="371">
        <f t="shared" ref="H163:H170" si="19">G163/$G$157</f>
        <v>0.3171505245</v>
      </c>
      <c r="I163" s="485" t="s">
        <v>251</v>
      </c>
      <c r="J163" s="233"/>
      <c r="K163" s="233"/>
      <c r="L163" s="233"/>
      <c r="M163" s="233"/>
      <c r="N163" s="233"/>
      <c r="O163" s="233"/>
      <c r="P163" s="233"/>
      <c r="Q163" s="233"/>
      <c r="R163" s="233"/>
      <c r="S163" s="233"/>
      <c r="T163" s="233"/>
      <c r="U163" s="233"/>
      <c r="V163" s="233"/>
      <c r="W163" s="233"/>
      <c r="X163" s="233"/>
      <c r="Y163" s="233"/>
      <c r="Z163" s="233"/>
      <c r="AA163" s="233"/>
      <c r="AB163" s="233"/>
      <c r="AC163" s="233"/>
      <c r="AD163" s="233"/>
    </row>
    <row r="164">
      <c r="A164" s="347"/>
      <c r="B164" s="323"/>
      <c r="C164" s="323"/>
      <c r="D164" s="223"/>
      <c r="E164" s="189" t="s">
        <v>129</v>
      </c>
      <c r="F164" s="513" t="s">
        <v>130</v>
      </c>
      <c r="G164" s="404">
        <v>7000.0</v>
      </c>
      <c r="H164" s="371">
        <f t="shared" si="19"/>
        <v>0.1707733594</v>
      </c>
      <c r="I164" s="485" t="s">
        <v>252</v>
      </c>
      <c r="J164" s="233"/>
      <c r="K164" s="233"/>
      <c r="L164" s="233"/>
      <c r="M164" s="233"/>
      <c r="N164" s="233"/>
      <c r="O164" s="233"/>
      <c r="P164" s="233"/>
      <c r="Q164" s="233"/>
      <c r="R164" s="233"/>
      <c r="S164" s="233"/>
      <c r="T164" s="233"/>
      <c r="U164" s="233"/>
      <c r="V164" s="233"/>
      <c r="W164" s="233"/>
      <c r="X164" s="233"/>
      <c r="Y164" s="233"/>
      <c r="Z164" s="233"/>
      <c r="AA164" s="233"/>
      <c r="AB164" s="233"/>
      <c r="AC164" s="233"/>
      <c r="AD164" s="233"/>
    </row>
    <row r="165">
      <c r="A165" s="347"/>
      <c r="B165" s="323"/>
      <c r="C165" s="323"/>
      <c r="D165" s="223"/>
      <c r="E165" s="189" t="s">
        <v>167</v>
      </c>
      <c r="F165" s="400" t="s">
        <v>168</v>
      </c>
      <c r="G165" s="404">
        <v>2500.0</v>
      </c>
      <c r="H165" s="371">
        <f t="shared" si="19"/>
        <v>0.06099048548</v>
      </c>
      <c r="I165" s="485" t="s">
        <v>253</v>
      </c>
      <c r="J165" s="233"/>
      <c r="K165" s="233"/>
      <c r="L165" s="233"/>
      <c r="M165" s="233"/>
      <c r="N165" s="233"/>
      <c r="O165" s="233"/>
      <c r="P165" s="233"/>
      <c r="Q165" s="233"/>
      <c r="R165" s="233"/>
      <c r="S165" s="233"/>
      <c r="T165" s="233"/>
      <c r="U165" s="233"/>
      <c r="V165" s="233"/>
      <c r="W165" s="233"/>
      <c r="X165" s="233"/>
      <c r="Y165" s="233"/>
      <c r="Z165" s="233"/>
      <c r="AA165" s="233"/>
      <c r="AB165" s="233"/>
      <c r="AC165" s="233"/>
      <c r="AD165" s="233"/>
    </row>
    <row r="166">
      <c r="A166" s="347"/>
      <c r="B166" s="323"/>
      <c r="C166" s="323"/>
      <c r="D166" s="223"/>
      <c r="E166" s="189" t="s">
        <v>140</v>
      </c>
      <c r="F166" s="400" t="s">
        <v>141</v>
      </c>
      <c r="G166" s="404">
        <v>5760.0</v>
      </c>
      <c r="H166" s="371">
        <f t="shared" si="19"/>
        <v>0.1405220786</v>
      </c>
      <c r="I166" s="485" t="s">
        <v>254</v>
      </c>
      <c r="J166" s="233"/>
      <c r="K166" s="233"/>
      <c r="L166" s="233"/>
      <c r="M166" s="233"/>
      <c r="N166" s="233"/>
      <c r="O166" s="233"/>
      <c r="P166" s="233"/>
      <c r="Q166" s="233"/>
      <c r="R166" s="233"/>
      <c r="S166" s="233"/>
      <c r="T166" s="233"/>
      <c r="U166" s="233"/>
      <c r="V166" s="233"/>
      <c r="W166" s="233"/>
      <c r="X166" s="233"/>
      <c r="Y166" s="233"/>
      <c r="Z166" s="233"/>
      <c r="AA166" s="233"/>
      <c r="AB166" s="233"/>
      <c r="AC166" s="233"/>
      <c r="AD166" s="233"/>
    </row>
    <row r="167">
      <c r="A167" s="347"/>
      <c r="B167" s="323"/>
      <c r="C167" s="323"/>
      <c r="D167" s="223"/>
      <c r="E167" s="189" t="s">
        <v>255</v>
      </c>
      <c r="F167" s="400" t="s">
        <v>256</v>
      </c>
      <c r="G167" s="404">
        <v>2000.0</v>
      </c>
      <c r="H167" s="371">
        <f t="shared" si="19"/>
        <v>0.04879238839</v>
      </c>
      <c r="I167" s="485" t="s">
        <v>257</v>
      </c>
      <c r="J167" s="233"/>
      <c r="K167" s="233"/>
      <c r="L167" s="233"/>
      <c r="M167" s="233"/>
      <c r="N167" s="233"/>
      <c r="O167" s="233"/>
      <c r="P167" s="233"/>
      <c r="Q167" s="233"/>
      <c r="R167" s="233"/>
      <c r="S167" s="233"/>
      <c r="T167" s="233"/>
      <c r="U167" s="233"/>
      <c r="V167" s="233"/>
      <c r="W167" s="233"/>
      <c r="X167" s="233"/>
      <c r="Y167" s="233"/>
      <c r="Z167" s="233"/>
      <c r="AA167" s="233"/>
      <c r="AB167" s="233"/>
      <c r="AC167" s="233"/>
      <c r="AD167" s="233"/>
    </row>
    <row r="168">
      <c r="A168" s="347"/>
      <c r="B168" s="323"/>
      <c r="C168" s="323"/>
      <c r="D168" s="223"/>
      <c r="E168" s="189" t="s">
        <v>258</v>
      </c>
      <c r="F168" s="400" t="s">
        <v>259</v>
      </c>
      <c r="G168" s="404">
        <v>1500.0</v>
      </c>
      <c r="H168" s="371">
        <f t="shared" si="19"/>
        <v>0.03659429129</v>
      </c>
      <c r="I168" s="485" t="s">
        <v>260</v>
      </c>
      <c r="J168" s="233"/>
      <c r="K168" s="233"/>
      <c r="L168" s="233"/>
      <c r="M168" s="233"/>
      <c r="N168" s="233"/>
      <c r="O168" s="233"/>
      <c r="P168" s="233"/>
      <c r="Q168" s="233"/>
      <c r="R168" s="233"/>
      <c r="S168" s="233"/>
      <c r="T168" s="233"/>
      <c r="U168" s="233"/>
      <c r="V168" s="233"/>
      <c r="W168" s="233"/>
      <c r="X168" s="233"/>
      <c r="Y168" s="233"/>
      <c r="Z168" s="233"/>
      <c r="AA168" s="233"/>
      <c r="AB168" s="233"/>
      <c r="AC168" s="233"/>
      <c r="AD168" s="233"/>
    </row>
    <row r="169">
      <c r="A169" s="347"/>
      <c r="B169" s="323"/>
      <c r="C169" s="323"/>
      <c r="D169" s="223"/>
      <c r="E169" s="189" t="s">
        <v>261</v>
      </c>
      <c r="F169" s="400" t="s">
        <v>262</v>
      </c>
      <c r="G169" s="404">
        <v>2000.0</v>
      </c>
      <c r="H169" s="371">
        <f t="shared" si="19"/>
        <v>0.04879238839</v>
      </c>
      <c r="I169" s="485" t="s">
        <v>263</v>
      </c>
      <c r="J169" s="233"/>
      <c r="K169" s="233"/>
      <c r="L169" s="233"/>
      <c r="M169" s="233"/>
      <c r="N169" s="233"/>
      <c r="O169" s="233"/>
      <c r="P169" s="233"/>
      <c r="Q169" s="233"/>
      <c r="R169" s="233"/>
      <c r="S169" s="233"/>
      <c r="T169" s="233"/>
      <c r="U169" s="233"/>
      <c r="V169" s="233"/>
      <c r="W169" s="233"/>
      <c r="X169" s="233"/>
      <c r="Y169" s="233"/>
      <c r="Z169" s="233"/>
      <c r="AA169" s="233"/>
      <c r="AB169" s="233"/>
      <c r="AC169" s="233"/>
      <c r="AD169" s="233"/>
    </row>
    <row r="170">
      <c r="A170" s="347"/>
      <c r="B170" s="323"/>
      <c r="C170" s="323"/>
      <c r="D170" s="323"/>
      <c r="E170" s="189" t="s">
        <v>264</v>
      </c>
      <c r="F170" s="400" t="s">
        <v>265</v>
      </c>
      <c r="G170" s="404">
        <v>1050.0</v>
      </c>
      <c r="H170" s="371">
        <f t="shared" si="19"/>
        <v>0.0256160039</v>
      </c>
      <c r="I170" s="485" t="s">
        <v>266</v>
      </c>
      <c r="J170" s="337"/>
      <c r="K170" s="233"/>
      <c r="L170" s="233"/>
      <c r="M170" s="233"/>
      <c r="N170" s="233"/>
      <c r="O170" s="233"/>
      <c r="P170" s="233"/>
      <c r="Q170" s="233"/>
      <c r="R170" s="233"/>
      <c r="S170" s="233"/>
      <c r="T170" s="233"/>
      <c r="U170" s="233"/>
      <c r="V170" s="233"/>
      <c r="W170" s="233"/>
      <c r="X170" s="233"/>
      <c r="Y170" s="233"/>
      <c r="Z170" s="233"/>
      <c r="AA170" s="233"/>
      <c r="AB170" s="233"/>
      <c r="AC170" s="233"/>
      <c r="AD170" s="233"/>
    </row>
    <row r="171">
      <c r="A171" s="347"/>
      <c r="B171" s="323"/>
      <c r="C171" s="323"/>
      <c r="D171" s="323"/>
      <c r="E171" s="223"/>
      <c r="F171" s="348"/>
      <c r="G171" s="434"/>
      <c r="H171" s="371"/>
      <c r="I171" s="336"/>
      <c r="J171" s="337"/>
      <c r="K171" s="233"/>
      <c r="L171" s="233"/>
      <c r="M171" s="233"/>
      <c r="N171" s="233"/>
      <c r="O171" s="233"/>
      <c r="P171" s="233"/>
      <c r="Q171" s="233"/>
      <c r="R171" s="233"/>
      <c r="S171" s="233"/>
      <c r="T171" s="233"/>
      <c r="U171" s="233"/>
      <c r="V171" s="233"/>
      <c r="W171" s="233"/>
      <c r="X171" s="233"/>
      <c r="Y171" s="233"/>
      <c r="Z171" s="233"/>
      <c r="AA171" s="233"/>
      <c r="AB171" s="233"/>
      <c r="AC171" s="233"/>
      <c r="AD171" s="233"/>
    </row>
    <row r="172">
      <c r="A172" s="347"/>
      <c r="B172" s="394"/>
      <c r="C172" s="394" t="s">
        <v>53</v>
      </c>
      <c r="D172" s="394" t="s">
        <v>47</v>
      </c>
      <c r="E172" s="395"/>
      <c r="F172" s="396" t="s">
        <v>76</v>
      </c>
      <c r="G172" s="422">
        <f>G173+G175+G179+G185+G192+G199</f>
        <v>40000</v>
      </c>
      <c r="H172" s="365">
        <f>G172/$G$73</f>
        <v>0.1836454541</v>
      </c>
      <c r="I172" s="366"/>
      <c r="J172" s="411"/>
      <c r="K172" s="412"/>
      <c r="L172" s="412"/>
      <c r="M172" s="412"/>
      <c r="N172" s="412"/>
      <c r="O172" s="412"/>
      <c r="P172" s="412"/>
      <c r="Q172" s="412"/>
      <c r="R172" s="412"/>
      <c r="S172" s="412"/>
      <c r="T172" s="412"/>
      <c r="U172" s="412"/>
      <c r="V172" s="412"/>
      <c r="W172" s="412"/>
      <c r="X172" s="412"/>
      <c r="Y172" s="412"/>
      <c r="Z172" s="412"/>
      <c r="AA172" s="412"/>
      <c r="AB172" s="412"/>
      <c r="AC172" s="412"/>
      <c r="AD172" s="412"/>
    </row>
    <row r="173">
      <c r="A173" s="460"/>
      <c r="B173" s="461"/>
      <c r="C173" s="461"/>
      <c r="D173" s="461" t="s">
        <v>46</v>
      </c>
      <c r="E173" s="514"/>
      <c r="F173" s="463" t="s">
        <v>48</v>
      </c>
      <c r="G173" s="515">
        <f>G174</f>
        <v>2500</v>
      </c>
      <c r="H173" s="516">
        <f>G173/$G$172</f>
        <v>0.0625</v>
      </c>
      <c r="I173" s="499"/>
      <c r="J173" s="471"/>
      <c r="K173" s="466"/>
      <c r="L173" s="466"/>
      <c r="M173" s="466"/>
      <c r="N173" s="466"/>
      <c r="O173" s="466"/>
      <c r="P173" s="466"/>
      <c r="Q173" s="466"/>
      <c r="R173" s="466"/>
      <c r="S173" s="466"/>
      <c r="T173" s="466"/>
      <c r="U173" s="466"/>
      <c r="V173" s="466"/>
      <c r="W173" s="466"/>
      <c r="X173" s="466"/>
      <c r="Y173" s="466"/>
      <c r="Z173" s="466"/>
      <c r="AA173" s="466"/>
      <c r="AB173" s="466"/>
      <c r="AC173" s="466"/>
      <c r="AD173" s="466"/>
    </row>
    <row r="174">
      <c r="A174" s="347"/>
      <c r="B174" s="323"/>
      <c r="C174" s="323"/>
      <c r="D174" s="323"/>
      <c r="E174" s="189" t="s">
        <v>126</v>
      </c>
      <c r="F174" s="400" t="s">
        <v>127</v>
      </c>
      <c r="G174" s="427">
        <v>2500.0</v>
      </c>
      <c r="H174" s="517">
        <f>G174/G173</f>
        <v>1</v>
      </c>
      <c r="I174" s="348" t="s">
        <v>237</v>
      </c>
      <c r="J174" s="337"/>
      <c r="K174" s="233"/>
      <c r="L174" s="233"/>
      <c r="M174" s="233"/>
      <c r="N174" s="233"/>
      <c r="O174" s="233"/>
      <c r="P174" s="233"/>
      <c r="Q174" s="233"/>
      <c r="R174" s="233"/>
      <c r="S174" s="233"/>
      <c r="T174" s="233"/>
      <c r="U174" s="233"/>
      <c r="V174" s="233"/>
      <c r="W174" s="233"/>
      <c r="X174" s="233"/>
      <c r="Y174" s="233"/>
      <c r="Z174" s="233"/>
      <c r="AA174" s="233"/>
      <c r="AB174" s="233"/>
      <c r="AC174" s="233"/>
      <c r="AD174" s="233"/>
    </row>
    <row r="175">
      <c r="A175" s="405"/>
      <c r="B175" s="486"/>
      <c r="C175" s="486"/>
      <c r="D175" s="487" t="s">
        <v>49</v>
      </c>
      <c r="E175" s="488"/>
      <c r="F175" s="489" t="s">
        <v>77</v>
      </c>
      <c r="G175" s="490">
        <f>SUM(G176:G178)</f>
        <v>6280</v>
      </c>
      <c r="H175" s="470">
        <f>G175/$G$172</f>
        <v>0.157</v>
      </c>
      <c r="I175" s="491"/>
      <c r="J175" s="492"/>
      <c r="K175" s="493"/>
      <c r="L175" s="493"/>
      <c r="M175" s="493"/>
      <c r="N175" s="493"/>
      <c r="O175" s="493"/>
      <c r="P175" s="493"/>
      <c r="Q175" s="493"/>
      <c r="R175" s="493"/>
      <c r="S175" s="493"/>
      <c r="T175" s="493"/>
      <c r="U175" s="493"/>
      <c r="V175" s="493"/>
      <c r="W175" s="493"/>
      <c r="X175" s="493"/>
      <c r="Y175" s="493"/>
      <c r="Z175" s="493"/>
      <c r="AA175" s="493"/>
      <c r="AB175" s="493"/>
      <c r="AC175" s="493"/>
      <c r="AD175" s="493"/>
    </row>
    <row r="176">
      <c r="A176" s="347"/>
      <c r="B176" s="323"/>
      <c r="C176" s="323"/>
      <c r="D176" s="323"/>
      <c r="E176" s="189" t="s">
        <v>123</v>
      </c>
      <c r="F176" s="400" t="s">
        <v>124</v>
      </c>
      <c r="G176" s="404">
        <v>2280.0</v>
      </c>
      <c r="H176" s="371">
        <f t="shared" ref="H176:H178" si="20">G176/$G$175</f>
        <v>0.3630573248</v>
      </c>
      <c r="I176" s="485" t="s">
        <v>267</v>
      </c>
      <c r="J176" s="337"/>
      <c r="K176" s="233"/>
      <c r="L176" s="233"/>
      <c r="M176" s="233"/>
      <c r="N176" s="233"/>
      <c r="O176" s="233"/>
      <c r="P176" s="233"/>
      <c r="Q176" s="233"/>
      <c r="R176" s="233"/>
      <c r="S176" s="233"/>
      <c r="T176" s="233"/>
      <c r="U176" s="233"/>
      <c r="V176" s="233"/>
      <c r="W176" s="233"/>
      <c r="X176" s="233"/>
      <c r="Y176" s="233"/>
      <c r="Z176" s="233"/>
      <c r="AA176" s="233"/>
      <c r="AB176" s="233"/>
      <c r="AC176" s="233"/>
      <c r="AD176" s="233"/>
    </row>
    <row r="177">
      <c r="A177" s="347"/>
      <c r="B177" s="323"/>
      <c r="C177" s="323"/>
      <c r="D177" s="323"/>
      <c r="E177" s="189" t="s">
        <v>140</v>
      </c>
      <c r="F177" s="400" t="s">
        <v>141</v>
      </c>
      <c r="G177" s="404">
        <v>3500.0</v>
      </c>
      <c r="H177" s="371">
        <f t="shared" si="20"/>
        <v>0.5573248408</v>
      </c>
      <c r="I177" s="485" t="s">
        <v>268</v>
      </c>
      <c r="J177" s="337"/>
      <c r="K177" s="233"/>
      <c r="L177" s="233"/>
      <c r="M177" s="233"/>
      <c r="N177" s="233"/>
      <c r="O177" s="233"/>
      <c r="P177" s="233"/>
      <c r="Q177" s="233"/>
      <c r="R177" s="233"/>
      <c r="S177" s="233"/>
      <c r="T177" s="233"/>
      <c r="U177" s="233"/>
      <c r="V177" s="233"/>
      <c r="W177" s="233"/>
      <c r="X177" s="233"/>
      <c r="Y177" s="233"/>
      <c r="Z177" s="233"/>
      <c r="AA177" s="233"/>
      <c r="AB177" s="233"/>
      <c r="AC177" s="233"/>
      <c r="AD177" s="233"/>
    </row>
    <row r="178">
      <c r="A178" s="347"/>
      <c r="B178" s="323"/>
      <c r="C178" s="323"/>
      <c r="D178" s="323"/>
      <c r="E178" s="189" t="s">
        <v>135</v>
      </c>
      <c r="F178" s="400" t="s">
        <v>136</v>
      </c>
      <c r="G178" s="401">
        <v>500.0</v>
      </c>
      <c r="H178" s="371">
        <f t="shared" si="20"/>
        <v>0.07961783439</v>
      </c>
      <c r="I178" s="485" t="s">
        <v>222</v>
      </c>
      <c r="J178" s="337"/>
      <c r="K178" s="233"/>
      <c r="L178" s="233"/>
      <c r="M178" s="233"/>
      <c r="N178" s="233"/>
      <c r="O178" s="233"/>
      <c r="P178" s="233"/>
      <c r="Q178" s="233"/>
      <c r="R178" s="233"/>
      <c r="S178" s="233"/>
      <c r="T178" s="233"/>
      <c r="U178" s="233"/>
      <c r="V178" s="233"/>
      <c r="W178" s="233"/>
      <c r="X178" s="233"/>
      <c r="Y178" s="233"/>
      <c r="Z178" s="233"/>
      <c r="AA178" s="233"/>
      <c r="AB178" s="233"/>
      <c r="AC178" s="233"/>
      <c r="AD178" s="233"/>
    </row>
    <row r="179">
      <c r="A179" s="405"/>
      <c r="B179" s="486"/>
      <c r="C179" s="486"/>
      <c r="D179" s="487" t="s">
        <v>51</v>
      </c>
      <c r="E179" s="488"/>
      <c r="F179" s="489" t="s">
        <v>78</v>
      </c>
      <c r="G179" s="490">
        <f>SUM(G180:G184)</f>
        <v>18500</v>
      </c>
      <c r="H179" s="470">
        <f>G179/$G$172</f>
        <v>0.4625</v>
      </c>
      <c r="I179" s="491"/>
      <c r="J179" s="492"/>
      <c r="K179" s="493"/>
      <c r="L179" s="493"/>
      <c r="M179" s="493"/>
      <c r="N179" s="493"/>
      <c r="O179" s="493"/>
      <c r="P179" s="493"/>
      <c r="Q179" s="493"/>
      <c r="R179" s="493"/>
      <c r="S179" s="493"/>
      <c r="T179" s="493"/>
      <c r="U179" s="493"/>
      <c r="V179" s="493"/>
      <c r="W179" s="493"/>
      <c r="X179" s="493"/>
      <c r="Y179" s="493"/>
      <c r="Z179" s="493"/>
      <c r="AA179" s="493"/>
      <c r="AB179" s="493"/>
      <c r="AC179" s="493"/>
      <c r="AD179" s="493"/>
    </row>
    <row r="180">
      <c r="A180" s="347"/>
      <c r="B180" s="323"/>
      <c r="C180" s="323"/>
      <c r="D180" s="323"/>
      <c r="E180" s="189" t="s">
        <v>123</v>
      </c>
      <c r="F180" s="400" t="s">
        <v>124</v>
      </c>
      <c r="G180" s="404">
        <v>11400.0</v>
      </c>
      <c r="H180" s="371">
        <f t="shared" ref="H180:H181" si="21">G180/$G$179</f>
        <v>0.6162162162</v>
      </c>
      <c r="I180" s="485" t="s">
        <v>269</v>
      </c>
      <c r="J180" s="337"/>
      <c r="K180" s="233"/>
      <c r="L180" s="233"/>
      <c r="M180" s="233"/>
      <c r="N180" s="233"/>
      <c r="O180" s="233"/>
      <c r="P180" s="233"/>
      <c r="Q180" s="233"/>
      <c r="R180" s="233"/>
      <c r="S180" s="233"/>
      <c r="T180" s="233"/>
      <c r="U180" s="233"/>
      <c r="V180" s="233"/>
      <c r="W180" s="233"/>
      <c r="X180" s="233"/>
      <c r="Y180" s="233"/>
      <c r="Z180" s="233"/>
      <c r="AA180" s="233"/>
      <c r="AB180" s="233"/>
      <c r="AC180" s="233"/>
      <c r="AD180" s="233"/>
    </row>
    <row r="181">
      <c r="A181" s="347"/>
      <c r="B181" s="323"/>
      <c r="C181" s="323"/>
      <c r="D181" s="323"/>
      <c r="E181" s="189" t="s">
        <v>188</v>
      </c>
      <c r="F181" s="400" t="s">
        <v>189</v>
      </c>
      <c r="G181" s="404">
        <v>1000.0</v>
      </c>
      <c r="H181" s="371">
        <f t="shared" si="21"/>
        <v>0.05405405405</v>
      </c>
      <c r="I181" s="485" t="s">
        <v>270</v>
      </c>
      <c r="J181" s="337"/>
      <c r="K181" s="233"/>
      <c r="L181" s="233"/>
      <c r="M181" s="233"/>
      <c r="N181" s="233"/>
      <c r="O181" s="233"/>
      <c r="P181" s="233"/>
      <c r="Q181" s="233"/>
      <c r="R181" s="233"/>
      <c r="S181" s="233"/>
      <c r="T181" s="233"/>
      <c r="U181" s="233"/>
      <c r="V181" s="233"/>
      <c r="W181" s="233"/>
      <c r="X181" s="233"/>
      <c r="Y181" s="233"/>
      <c r="Z181" s="233"/>
      <c r="AA181" s="233"/>
      <c r="AB181" s="233"/>
      <c r="AC181" s="233"/>
      <c r="AD181" s="233"/>
    </row>
    <row r="182">
      <c r="A182" s="347"/>
      <c r="B182" s="323"/>
      <c r="C182" s="323"/>
      <c r="D182" s="323"/>
      <c r="E182" s="190"/>
      <c r="F182" s="283"/>
      <c r="G182" s="518"/>
      <c r="H182" s="371"/>
      <c r="I182" s="485" t="s">
        <v>271</v>
      </c>
      <c r="J182" s="337"/>
      <c r="K182" s="233"/>
      <c r="L182" s="233"/>
      <c r="M182" s="233"/>
      <c r="N182" s="233"/>
      <c r="O182" s="233"/>
      <c r="P182" s="233"/>
      <c r="Q182" s="233"/>
      <c r="R182" s="233"/>
      <c r="S182" s="233"/>
      <c r="T182" s="233"/>
      <c r="U182" s="233"/>
      <c r="V182" s="233"/>
      <c r="W182" s="233"/>
      <c r="X182" s="233"/>
      <c r="Y182" s="233"/>
      <c r="Z182" s="233"/>
      <c r="AA182" s="233"/>
      <c r="AB182" s="233"/>
      <c r="AC182" s="233"/>
      <c r="AD182" s="233"/>
    </row>
    <row r="183">
      <c r="A183" s="347"/>
      <c r="B183" s="323"/>
      <c r="C183" s="323"/>
      <c r="D183" s="323"/>
      <c r="E183" s="189" t="s">
        <v>132</v>
      </c>
      <c r="F183" s="279" t="s">
        <v>133</v>
      </c>
      <c r="G183" s="285">
        <v>5600.0</v>
      </c>
      <c r="H183" s="371">
        <f t="shared" ref="H183:H184" si="22">G183/$G$179</f>
        <v>0.3027027027</v>
      </c>
      <c r="I183" s="485" t="s">
        <v>272</v>
      </c>
      <c r="J183" s="337"/>
      <c r="K183" s="233"/>
      <c r="L183" s="233"/>
      <c r="M183" s="233"/>
      <c r="N183" s="233"/>
      <c r="O183" s="233"/>
      <c r="P183" s="233"/>
      <c r="Q183" s="233"/>
      <c r="R183" s="233"/>
      <c r="S183" s="233"/>
      <c r="T183" s="233"/>
      <c r="U183" s="233"/>
      <c r="V183" s="233"/>
      <c r="W183" s="233"/>
      <c r="X183" s="233"/>
      <c r="Y183" s="233"/>
      <c r="Z183" s="233"/>
      <c r="AA183" s="233"/>
      <c r="AB183" s="233"/>
      <c r="AC183" s="233"/>
      <c r="AD183" s="233"/>
    </row>
    <row r="184">
      <c r="A184" s="347"/>
      <c r="B184" s="323"/>
      <c r="C184" s="323"/>
      <c r="D184" s="323"/>
      <c r="E184" s="189" t="s">
        <v>135</v>
      </c>
      <c r="F184" s="400" t="s">
        <v>136</v>
      </c>
      <c r="G184" s="404">
        <v>500.0</v>
      </c>
      <c r="H184" s="371">
        <f t="shared" si="22"/>
        <v>0.02702702703</v>
      </c>
      <c r="I184" s="485" t="s">
        <v>222</v>
      </c>
      <c r="J184" s="337"/>
      <c r="K184" s="233"/>
      <c r="L184" s="233"/>
      <c r="M184" s="233"/>
      <c r="N184" s="233"/>
      <c r="O184" s="233"/>
      <c r="P184" s="233"/>
      <c r="Q184" s="233"/>
      <c r="R184" s="233"/>
      <c r="S184" s="233"/>
      <c r="T184" s="233"/>
      <c r="U184" s="233"/>
      <c r="V184" s="233"/>
      <c r="W184" s="233"/>
      <c r="X184" s="233"/>
      <c r="Y184" s="233"/>
      <c r="Z184" s="233"/>
      <c r="AA184" s="233"/>
      <c r="AB184" s="233"/>
      <c r="AC184" s="233"/>
      <c r="AD184" s="233"/>
    </row>
    <row r="185">
      <c r="A185" s="405"/>
      <c r="B185" s="486"/>
      <c r="C185" s="486"/>
      <c r="D185" s="487" t="s">
        <v>53</v>
      </c>
      <c r="E185" s="488"/>
      <c r="F185" s="489" t="s">
        <v>79</v>
      </c>
      <c r="G185" s="490">
        <f>SUM(G186:G191)</f>
        <v>4890</v>
      </c>
      <c r="H185" s="470">
        <f>G185/$G$172</f>
        <v>0.12225</v>
      </c>
      <c r="I185" s="491"/>
      <c r="J185" s="492"/>
      <c r="K185" s="493"/>
      <c r="L185" s="493"/>
      <c r="M185" s="493"/>
      <c r="N185" s="493"/>
      <c r="O185" s="493"/>
      <c r="P185" s="493"/>
      <c r="Q185" s="493"/>
      <c r="R185" s="493"/>
      <c r="S185" s="493"/>
      <c r="T185" s="493"/>
      <c r="U185" s="493"/>
      <c r="V185" s="493"/>
      <c r="W185" s="493"/>
      <c r="X185" s="493"/>
      <c r="Y185" s="493"/>
      <c r="Z185" s="493"/>
      <c r="AA185" s="493"/>
      <c r="AB185" s="493"/>
      <c r="AC185" s="493"/>
      <c r="AD185" s="493"/>
    </row>
    <row r="186">
      <c r="A186" s="347"/>
      <c r="B186" s="323"/>
      <c r="C186" s="323"/>
      <c r="D186" s="323"/>
      <c r="E186" s="189" t="s">
        <v>123</v>
      </c>
      <c r="F186" s="400" t="s">
        <v>124</v>
      </c>
      <c r="G186" s="404">
        <v>1140.0</v>
      </c>
      <c r="H186" s="371">
        <f t="shared" ref="H186:H187" si="23">G186/$G$185</f>
        <v>0.2331288344</v>
      </c>
      <c r="I186" s="485" t="s">
        <v>273</v>
      </c>
      <c r="J186" s="337"/>
      <c r="K186" s="233"/>
      <c r="L186" s="233"/>
      <c r="M186" s="233"/>
      <c r="N186" s="233"/>
      <c r="O186" s="233"/>
      <c r="P186" s="233"/>
      <c r="Q186" s="233"/>
      <c r="R186" s="233"/>
      <c r="S186" s="233"/>
      <c r="T186" s="233"/>
      <c r="U186" s="233"/>
      <c r="V186" s="233"/>
      <c r="W186" s="233"/>
      <c r="X186" s="233"/>
      <c r="Y186" s="233"/>
      <c r="Z186" s="233"/>
      <c r="AA186" s="233"/>
      <c r="AB186" s="233"/>
      <c r="AC186" s="233"/>
      <c r="AD186" s="233"/>
    </row>
    <row r="187">
      <c r="A187" s="347"/>
      <c r="B187" s="323"/>
      <c r="C187" s="323"/>
      <c r="D187" s="323"/>
      <c r="E187" s="189" t="s">
        <v>188</v>
      </c>
      <c r="F187" s="400" t="s">
        <v>189</v>
      </c>
      <c r="G187" s="401">
        <v>550.0</v>
      </c>
      <c r="H187" s="371">
        <f t="shared" si="23"/>
        <v>0.1124744376</v>
      </c>
      <c r="I187" s="485" t="s">
        <v>274</v>
      </c>
      <c r="J187" s="337"/>
      <c r="K187" s="233"/>
      <c r="L187" s="233"/>
      <c r="M187" s="233"/>
      <c r="N187" s="233"/>
      <c r="O187" s="233"/>
      <c r="P187" s="233"/>
      <c r="Q187" s="233"/>
      <c r="R187" s="233"/>
      <c r="S187" s="233"/>
      <c r="T187" s="233"/>
      <c r="U187" s="233"/>
      <c r="V187" s="233"/>
      <c r="W187" s="233"/>
      <c r="X187" s="233"/>
      <c r="Y187" s="233"/>
      <c r="Z187" s="233"/>
      <c r="AA187" s="233"/>
      <c r="AB187" s="233"/>
      <c r="AC187" s="233"/>
      <c r="AD187" s="233"/>
    </row>
    <row r="188">
      <c r="A188" s="347"/>
      <c r="B188" s="323"/>
      <c r="C188" s="323"/>
      <c r="D188" s="323"/>
      <c r="E188" s="190"/>
      <c r="F188" s="283"/>
      <c r="G188" s="518"/>
      <c r="H188" s="371"/>
      <c r="I188" s="485" t="s">
        <v>275</v>
      </c>
      <c r="J188" s="337"/>
      <c r="K188" s="233"/>
      <c r="L188" s="233"/>
      <c r="M188" s="233"/>
      <c r="N188" s="233"/>
      <c r="O188" s="233"/>
      <c r="P188" s="233"/>
      <c r="Q188" s="233"/>
      <c r="R188" s="233"/>
      <c r="S188" s="233"/>
      <c r="T188" s="233"/>
      <c r="U188" s="233"/>
      <c r="V188" s="233"/>
      <c r="W188" s="233"/>
      <c r="X188" s="233"/>
      <c r="Y188" s="233"/>
      <c r="Z188" s="233"/>
      <c r="AA188" s="233"/>
      <c r="AB188" s="233"/>
      <c r="AC188" s="233"/>
      <c r="AD188" s="233"/>
    </row>
    <row r="189">
      <c r="A189" s="347"/>
      <c r="B189" s="323"/>
      <c r="C189" s="323"/>
      <c r="D189" s="323"/>
      <c r="E189" s="189" t="s">
        <v>148</v>
      </c>
      <c r="F189" s="400" t="s">
        <v>122</v>
      </c>
      <c r="G189" s="404">
        <v>2000.0</v>
      </c>
      <c r="H189" s="371">
        <f t="shared" ref="H189:H191" si="24">G189/$G$185</f>
        <v>0.408997955</v>
      </c>
      <c r="I189" s="485" t="s">
        <v>276</v>
      </c>
      <c r="J189" s="337"/>
      <c r="K189" s="233"/>
      <c r="L189" s="233"/>
      <c r="M189" s="233"/>
      <c r="N189" s="233"/>
      <c r="O189" s="233"/>
      <c r="P189" s="233"/>
      <c r="Q189" s="233"/>
      <c r="R189" s="233"/>
      <c r="S189" s="233"/>
      <c r="T189" s="233"/>
      <c r="U189" s="233"/>
      <c r="V189" s="233"/>
      <c r="W189" s="233"/>
      <c r="X189" s="233"/>
      <c r="Y189" s="233"/>
      <c r="Z189" s="233"/>
      <c r="AA189" s="233"/>
      <c r="AB189" s="233"/>
      <c r="AC189" s="233"/>
      <c r="AD189" s="233"/>
    </row>
    <row r="190">
      <c r="A190" s="347"/>
      <c r="B190" s="323"/>
      <c r="C190" s="323"/>
      <c r="D190" s="323"/>
      <c r="E190" s="189" t="s">
        <v>140</v>
      </c>
      <c r="F190" s="400" t="s">
        <v>141</v>
      </c>
      <c r="G190" s="404">
        <v>700.0</v>
      </c>
      <c r="H190" s="371">
        <f t="shared" si="24"/>
        <v>0.1431492843</v>
      </c>
      <c r="I190" s="485" t="s">
        <v>277</v>
      </c>
      <c r="J190" s="337"/>
      <c r="K190" s="233"/>
      <c r="L190" s="233"/>
      <c r="M190" s="233"/>
      <c r="N190" s="233"/>
      <c r="O190" s="233"/>
      <c r="P190" s="233"/>
      <c r="Q190" s="233"/>
      <c r="R190" s="233"/>
      <c r="S190" s="233"/>
      <c r="T190" s="233"/>
      <c r="U190" s="233"/>
      <c r="V190" s="233"/>
      <c r="W190" s="233"/>
      <c r="X190" s="233"/>
      <c r="Y190" s="233"/>
      <c r="Z190" s="233"/>
      <c r="AA190" s="233"/>
      <c r="AB190" s="233"/>
      <c r="AC190" s="233"/>
      <c r="AD190" s="233"/>
    </row>
    <row r="191">
      <c r="A191" s="347"/>
      <c r="B191" s="323"/>
      <c r="C191" s="323"/>
      <c r="D191" s="323"/>
      <c r="E191" s="189" t="s">
        <v>135</v>
      </c>
      <c r="F191" s="400" t="s">
        <v>136</v>
      </c>
      <c r="G191" s="401">
        <v>500.0</v>
      </c>
      <c r="H191" s="371">
        <f t="shared" si="24"/>
        <v>0.1022494888</v>
      </c>
      <c r="I191" s="485" t="s">
        <v>222</v>
      </c>
      <c r="J191" s="337"/>
      <c r="K191" s="233"/>
      <c r="L191" s="233"/>
      <c r="M191" s="233"/>
      <c r="N191" s="233"/>
      <c r="O191" s="233"/>
      <c r="P191" s="233"/>
      <c r="Q191" s="233"/>
      <c r="R191" s="233"/>
      <c r="S191" s="233"/>
      <c r="T191" s="233"/>
      <c r="U191" s="233"/>
      <c r="V191" s="233"/>
      <c r="W191" s="233"/>
      <c r="X191" s="233"/>
      <c r="Y191" s="233"/>
      <c r="Z191" s="233"/>
      <c r="AA191" s="233"/>
      <c r="AB191" s="233"/>
      <c r="AC191" s="233"/>
      <c r="AD191" s="233"/>
    </row>
    <row r="192">
      <c r="A192" s="347"/>
      <c r="B192" s="323"/>
      <c r="C192" s="323"/>
      <c r="D192" s="487" t="s">
        <v>55</v>
      </c>
      <c r="E192" s="488"/>
      <c r="F192" s="489" t="s">
        <v>80</v>
      </c>
      <c r="G192" s="490">
        <f>SUM(G193:G198)</f>
        <v>4890</v>
      </c>
      <c r="H192" s="470">
        <f>G192/$G$172</f>
        <v>0.12225</v>
      </c>
      <c r="I192" s="485"/>
      <c r="J192" s="337"/>
      <c r="K192" s="233"/>
      <c r="L192" s="233"/>
      <c r="M192" s="233"/>
      <c r="N192" s="233"/>
      <c r="O192" s="233"/>
      <c r="P192" s="233"/>
      <c r="Q192" s="233"/>
      <c r="R192" s="233"/>
      <c r="S192" s="233"/>
      <c r="T192" s="233"/>
      <c r="U192" s="233"/>
      <c r="V192" s="233"/>
      <c r="W192" s="233"/>
      <c r="X192" s="233"/>
      <c r="Y192" s="233"/>
      <c r="Z192" s="233"/>
      <c r="AA192" s="233"/>
      <c r="AB192" s="233"/>
      <c r="AC192" s="233"/>
      <c r="AD192" s="233"/>
    </row>
    <row r="193">
      <c r="A193" s="347"/>
      <c r="B193" s="323"/>
      <c r="C193" s="323"/>
      <c r="D193" s="323"/>
      <c r="E193" s="189" t="s">
        <v>123</v>
      </c>
      <c r="F193" s="400" t="s">
        <v>124</v>
      </c>
      <c r="G193" s="404">
        <v>1140.0</v>
      </c>
      <c r="H193" s="371">
        <f t="shared" ref="H193:H198" si="25">G193/$G$192</f>
        <v>0.2331288344</v>
      </c>
      <c r="I193" s="485" t="s">
        <v>273</v>
      </c>
      <c r="J193" s="337"/>
      <c r="K193" s="233"/>
      <c r="L193" s="233"/>
      <c r="M193" s="233"/>
      <c r="N193" s="233"/>
      <c r="O193" s="233"/>
      <c r="P193" s="233"/>
      <c r="Q193" s="233"/>
      <c r="R193" s="233"/>
      <c r="S193" s="233"/>
      <c r="T193" s="233"/>
      <c r="U193" s="233"/>
      <c r="V193" s="233"/>
      <c r="W193" s="233"/>
      <c r="X193" s="233"/>
      <c r="Y193" s="233"/>
      <c r="Z193" s="233"/>
      <c r="AA193" s="233"/>
      <c r="AB193" s="233"/>
      <c r="AC193" s="233"/>
      <c r="AD193" s="233"/>
    </row>
    <row r="194">
      <c r="A194" s="347"/>
      <c r="B194" s="323"/>
      <c r="C194" s="323"/>
      <c r="D194" s="323"/>
      <c r="E194" s="189" t="s">
        <v>188</v>
      </c>
      <c r="F194" s="400" t="s">
        <v>189</v>
      </c>
      <c r="G194" s="401">
        <v>550.0</v>
      </c>
      <c r="H194" s="371">
        <f t="shared" si="25"/>
        <v>0.1124744376</v>
      </c>
      <c r="I194" s="485" t="s">
        <v>274</v>
      </c>
      <c r="J194" s="337"/>
      <c r="K194" s="233"/>
      <c r="L194" s="233"/>
      <c r="M194" s="233"/>
      <c r="N194" s="233"/>
      <c r="O194" s="233"/>
      <c r="P194" s="233"/>
      <c r="Q194" s="233"/>
      <c r="R194" s="233"/>
      <c r="S194" s="233"/>
      <c r="T194" s="233"/>
      <c r="U194" s="233"/>
      <c r="V194" s="233"/>
      <c r="W194" s="233"/>
      <c r="X194" s="233"/>
      <c r="Y194" s="233"/>
      <c r="Z194" s="233"/>
      <c r="AA194" s="233"/>
      <c r="AB194" s="233"/>
      <c r="AC194" s="233"/>
      <c r="AD194" s="233"/>
    </row>
    <row r="195">
      <c r="A195" s="347"/>
      <c r="B195" s="323"/>
      <c r="C195" s="323"/>
      <c r="D195" s="323"/>
      <c r="E195" s="190"/>
      <c r="F195" s="283"/>
      <c r="G195" s="518"/>
      <c r="H195" s="371">
        <f t="shared" si="25"/>
        <v>0</v>
      </c>
      <c r="I195" s="485" t="s">
        <v>275</v>
      </c>
      <c r="J195" s="337"/>
      <c r="K195" s="233"/>
      <c r="L195" s="233"/>
      <c r="M195" s="233"/>
      <c r="N195" s="233"/>
      <c r="O195" s="233"/>
      <c r="P195" s="233"/>
      <c r="Q195" s="233"/>
      <c r="R195" s="233"/>
      <c r="S195" s="233"/>
      <c r="T195" s="233"/>
      <c r="U195" s="233"/>
      <c r="V195" s="233"/>
      <c r="W195" s="233"/>
      <c r="X195" s="233"/>
      <c r="Y195" s="233"/>
      <c r="Z195" s="233"/>
      <c r="AA195" s="233"/>
      <c r="AB195" s="233"/>
      <c r="AC195" s="233"/>
      <c r="AD195" s="233"/>
    </row>
    <row r="196">
      <c r="A196" s="347"/>
      <c r="B196" s="323"/>
      <c r="C196" s="323"/>
      <c r="D196" s="323"/>
      <c r="E196" s="189" t="s">
        <v>148</v>
      </c>
      <c r="F196" s="400" t="s">
        <v>122</v>
      </c>
      <c r="G196" s="404">
        <v>2000.0</v>
      </c>
      <c r="H196" s="371">
        <f t="shared" si="25"/>
        <v>0.408997955</v>
      </c>
      <c r="I196" s="485" t="s">
        <v>276</v>
      </c>
      <c r="J196" s="337"/>
      <c r="K196" s="233"/>
      <c r="L196" s="233"/>
      <c r="M196" s="233"/>
      <c r="N196" s="233"/>
      <c r="O196" s="233"/>
      <c r="P196" s="233"/>
      <c r="Q196" s="233"/>
      <c r="R196" s="233"/>
      <c r="S196" s="233"/>
      <c r="T196" s="233"/>
      <c r="U196" s="233"/>
      <c r="V196" s="233"/>
      <c r="W196" s="233"/>
      <c r="X196" s="233"/>
      <c r="Y196" s="233"/>
      <c r="Z196" s="233"/>
      <c r="AA196" s="233"/>
      <c r="AB196" s="233"/>
      <c r="AC196" s="233"/>
      <c r="AD196" s="233"/>
    </row>
    <row r="197">
      <c r="A197" s="347"/>
      <c r="B197" s="323"/>
      <c r="C197" s="323"/>
      <c r="D197" s="323"/>
      <c r="E197" s="189" t="s">
        <v>140</v>
      </c>
      <c r="F197" s="400" t="s">
        <v>141</v>
      </c>
      <c r="G197" s="404">
        <v>700.0</v>
      </c>
      <c r="H197" s="371">
        <f t="shared" si="25"/>
        <v>0.1431492843</v>
      </c>
      <c r="I197" s="485" t="s">
        <v>277</v>
      </c>
      <c r="J197" s="337"/>
      <c r="K197" s="233"/>
      <c r="L197" s="233"/>
      <c r="M197" s="233"/>
      <c r="N197" s="233"/>
      <c r="O197" s="233"/>
      <c r="P197" s="233"/>
      <c r="Q197" s="233"/>
      <c r="R197" s="233"/>
      <c r="S197" s="233"/>
      <c r="T197" s="233"/>
      <c r="U197" s="233"/>
      <c r="V197" s="233"/>
      <c r="W197" s="233"/>
      <c r="X197" s="233"/>
      <c r="Y197" s="233"/>
      <c r="Z197" s="233"/>
      <c r="AA197" s="233"/>
      <c r="AB197" s="233"/>
      <c r="AC197" s="233"/>
      <c r="AD197" s="233"/>
    </row>
    <row r="198">
      <c r="A198" s="347"/>
      <c r="B198" s="323"/>
      <c r="C198" s="323"/>
      <c r="D198" s="323"/>
      <c r="E198" s="189" t="s">
        <v>135</v>
      </c>
      <c r="F198" s="400" t="s">
        <v>136</v>
      </c>
      <c r="G198" s="401">
        <v>500.0</v>
      </c>
      <c r="H198" s="371">
        <f t="shared" si="25"/>
        <v>0.1022494888</v>
      </c>
      <c r="I198" s="485" t="s">
        <v>222</v>
      </c>
      <c r="J198" s="337"/>
      <c r="K198" s="233"/>
      <c r="L198" s="233"/>
      <c r="M198" s="233"/>
      <c r="N198" s="233"/>
      <c r="O198" s="233"/>
      <c r="P198" s="233"/>
      <c r="Q198" s="233"/>
      <c r="R198" s="233"/>
      <c r="S198" s="233"/>
      <c r="T198" s="233"/>
      <c r="U198" s="233"/>
      <c r="V198" s="233"/>
      <c r="W198" s="233"/>
      <c r="X198" s="233"/>
      <c r="Y198" s="233"/>
      <c r="Z198" s="233"/>
      <c r="AA198" s="233"/>
      <c r="AB198" s="233"/>
      <c r="AC198" s="233"/>
      <c r="AD198" s="233"/>
    </row>
    <row r="199">
      <c r="A199" s="347"/>
      <c r="B199" s="323"/>
      <c r="C199" s="323"/>
      <c r="D199" s="487" t="s">
        <v>57</v>
      </c>
      <c r="E199" s="488"/>
      <c r="F199" s="489" t="s">
        <v>81</v>
      </c>
      <c r="G199" s="490">
        <f>SUM(G200:G201)</f>
        <v>2940</v>
      </c>
      <c r="H199" s="470">
        <f>G199/$G$172</f>
        <v>0.0735</v>
      </c>
      <c r="I199" s="485"/>
      <c r="J199" s="337"/>
      <c r="K199" s="233"/>
      <c r="L199" s="233"/>
      <c r="M199" s="233"/>
      <c r="N199" s="233"/>
      <c r="O199" s="233"/>
      <c r="P199" s="233"/>
      <c r="Q199" s="233"/>
      <c r="R199" s="233"/>
      <c r="S199" s="233"/>
      <c r="T199" s="233"/>
      <c r="U199" s="233"/>
      <c r="V199" s="233"/>
      <c r="W199" s="233"/>
      <c r="X199" s="233"/>
      <c r="Y199" s="233"/>
      <c r="Z199" s="233"/>
      <c r="AA199" s="233"/>
      <c r="AB199" s="233"/>
      <c r="AC199" s="233"/>
      <c r="AD199" s="233"/>
    </row>
    <row r="200">
      <c r="A200" s="347"/>
      <c r="B200" s="323"/>
      <c r="C200" s="323"/>
      <c r="D200" s="323"/>
      <c r="E200" s="189" t="s">
        <v>123</v>
      </c>
      <c r="F200" s="400" t="s">
        <v>124</v>
      </c>
      <c r="G200" s="404">
        <v>1140.0</v>
      </c>
      <c r="H200" s="371">
        <f t="shared" ref="H200:H201" si="26">G200/$G$199</f>
        <v>0.387755102</v>
      </c>
      <c r="I200" s="485" t="s">
        <v>278</v>
      </c>
      <c r="J200" s="337"/>
      <c r="K200" s="233"/>
      <c r="L200" s="233"/>
      <c r="M200" s="233"/>
      <c r="N200" s="233"/>
      <c r="O200" s="233"/>
      <c r="P200" s="233"/>
      <c r="Q200" s="233"/>
      <c r="R200" s="233"/>
      <c r="S200" s="233"/>
      <c r="T200" s="233"/>
      <c r="U200" s="233"/>
      <c r="V200" s="233"/>
      <c r="W200" s="233"/>
      <c r="X200" s="233"/>
      <c r="Y200" s="233"/>
      <c r="Z200" s="233"/>
      <c r="AA200" s="233"/>
      <c r="AB200" s="233"/>
      <c r="AC200" s="233"/>
      <c r="AD200" s="233"/>
    </row>
    <row r="201">
      <c r="A201" s="347"/>
      <c r="B201" s="323"/>
      <c r="C201" s="323"/>
      <c r="D201" s="323"/>
      <c r="E201" s="189" t="s">
        <v>188</v>
      </c>
      <c r="F201" s="400" t="s">
        <v>189</v>
      </c>
      <c r="G201" s="404">
        <v>1800.0</v>
      </c>
      <c r="H201" s="371">
        <f t="shared" si="26"/>
        <v>0.612244898</v>
      </c>
      <c r="I201" s="485" t="s">
        <v>279</v>
      </c>
      <c r="J201" s="337"/>
      <c r="K201" s="233"/>
      <c r="L201" s="233"/>
      <c r="M201" s="233"/>
      <c r="N201" s="233"/>
      <c r="O201" s="233"/>
      <c r="P201" s="233"/>
      <c r="Q201" s="233"/>
      <c r="R201" s="233"/>
      <c r="S201" s="233"/>
      <c r="T201" s="233"/>
      <c r="U201" s="233"/>
      <c r="V201" s="233"/>
      <c r="W201" s="233"/>
      <c r="X201" s="233"/>
      <c r="Y201" s="233"/>
      <c r="Z201" s="233"/>
      <c r="AA201" s="233"/>
      <c r="AB201" s="233"/>
      <c r="AC201" s="233"/>
      <c r="AD201" s="233"/>
    </row>
    <row r="202">
      <c r="A202" s="347"/>
      <c r="B202" s="323"/>
      <c r="C202" s="323"/>
      <c r="D202" s="323"/>
      <c r="E202" s="225"/>
      <c r="F202" s="519"/>
      <c r="G202" s="520"/>
      <c r="H202" s="371"/>
      <c r="I202" s="485" t="s">
        <v>280</v>
      </c>
      <c r="J202" s="337"/>
      <c r="K202" s="233"/>
      <c r="L202" s="233"/>
      <c r="M202" s="233"/>
      <c r="N202" s="233"/>
      <c r="O202" s="233"/>
      <c r="P202" s="233"/>
      <c r="Q202" s="233"/>
      <c r="R202" s="233"/>
      <c r="S202" s="233"/>
      <c r="T202" s="233"/>
      <c r="U202" s="233"/>
      <c r="V202" s="233"/>
      <c r="W202" s="233"/>
      <c r="X202" s="233"/>
      <c r="Y202" s="233"/>
      <c r="Z202" s="233"/>
      <c r="AA202" s="233"/>
      <c r="AB202" s="233"/>
      <c r="AC202" s="233"/>
      <c r="AD202" s="233"/>
    </row>
    <row r="203">
      <c r="A203" s="405"/>
      <c r="B203" s="521"/>
      <c r="C203" s="522" t="s">
        <v>59</v>
      </c>
      <c r="D203" s="522" t="s">
        <v>59</v>
      </c>
      <c r="E203" s="523"/>
      <c r="F203" s="524" t="s">
        <v>60</v>
      </c>
      <c r="G203" s="525">
        <f>ROUND((G75+G78+G106+G140+G172)/95*5,0)</f>
        <v>10891</v>
      </c>
      <c r="H203" s="365">
        <f>G203/$G$73</f>
        <v>0.05000206601</v>
      </c>
      <c r="I203" s="526" t="s">
        <v>281</v>
      </c>
      <c r="J203" s="527"/>
      <c r="K203" s="295"/>
      <c r="L203" s="295"/>
      <c r="M203" s="295"/>
      <c r="N203" s="295"/>
      <c r="O203" s="295"/>
      <c r="P203" s="295"/>
      <c r="Q203" s="295"/>
      <c r="R203" s="295"/>
      <c r="S203" s="295"/>
      <c r="T203" s="295"/>
      <c r="U203" s="295"/>
      <c r="V203" s="295"/>
      <c r="W203" s="295"/>
      <c r="X203" s="295"/>
      <c r="Y203" s="295"/>
      <c r="Z203" s="295"/>
      <c r="AA203" s="295"/>
      <c r="AB203" s="295"/>
      <c r="AC203" s="295"/>
      <c r="AD203" s="295"/>
    </row>
    <row r="204">
      <c r="A204" s="405"/>
      <c r="B204" s="494"/>
      <c r="C204" s="476"/>
      <c r="D204" s="476"/>
      <c r="E204" s="192"/>
      <c r="F204" s="406"/>
      <c r="G204" s="528"/>
      <c r="H204" s="529"/>
      <c r="I204" s="485"/>
      <c r="J204" s="495"/>
      <c r="K204" s="276"/>
      <c r="L204" s="276"/>
      <c r="M204" s="276"/>
      <c r="N204" s="276"/>
      <c r="O204" s="276"/>
      <c r="P204" s="276"/>
      <c r="Q204" s="276"/>
      <c r="R204" s="276"/>
      <c r="S204" s="276"/>
      <c r="T204" s="276"/>
      <c r="U204" s="276"/>
      <c r="V204" s="276"/>
      <c r="W204" s="276"/>
      <c r="X204" s="276"/>
      <c r="Y204" s="276"/>
      <c r="Z204" s="276"/>
      <c r="AA204" s="276"/>
      <c r="AB204" s="276"/>
      <c r="AC204" s="276"/>
      <c r="AD204" s="276"/>
    </row>
    <row r="205">
      <c r="A205" s="347"/>
      <c r="B205" s="323"/>
      <c r="C205" s="323"/>
      <c r="D205" s="323"/>
      <c r="E205" s="223"/>
      <c r="F205" s="348"/>
      <c r="G205" s="434"/>
      <c r="H205" s="336"/>
      <c r="I205" s="336"/>
      <c r="J205" s="337"/>
      <c r="K205" s="233"/>
      <c r="L205" s="233"/>
      <c r="M205" s="233"/>
      <c r="N205" s="233"/>
      <c r="O205" s="233"/>
      <c r="P205" s="233"/>
      <c r="Q205" s="233"/>
      <c r="R205" s="233"/>
      <c r="S205" s="233"/>
      <c r="T205" s="233"/>
      <c r="U205" s="233"/>
      <c r="V205" s="233"/>
      <c r="W205" s="233"/>
      <c r="X205" s="233"/>
      <c r="Y205" s="233"/>
      <c r="Z205" s="233"/>
      <c r="AA205" s="233"/>
      <c r="AB205" s="233"/>
      <c r="AC205" s="233"/>
      <c r="AD205" s="233"/>
    </row>
    <row r="206">
      <c r="A206" s="350"/>
      <c r="B206" s="351" t="s">
        <v>57</v>
      </c>
      <c r="C206" s="351" t="s">
        <v>47</v>
      </c>
      <c r="D206" s="351" t="s">
        <v>47</v>
      </c>
      <c r="E206" s="352"/>
      <c r="F206" s="353" t="s">
        <v>22</v>
      </c>
      <c r="G206" s="421">
        <f>G207+G214</f>
        <v>158663</v>
      </c>
      <c r="H206" s="355">
        <f>G206/$G$8</f>
        <v>0.1340177853</v>
      </c>
      <c r="I206" s="353"/>
      <c r="J206" s="357"/>
      <c r="K206" s="358"/>
      <c r="L206" s="358"/>
      <c r="M206" s="358"/>
      <c r="N206" s="358"/>
      <c r="O206" s="358"/>
      <c r="P206" s="358"/>
      <c r="Q206" s="358"/>
      <c r="R206" s="358"/>
      <c r="S206" s="358"/>
      <c r="T206" s="358"/>
      <c r="U206" s="358"/>
      <c r="V206" s="358"/>
      <c r="W206" s="358"/>
      <c r="X206" s="358"/>
      <c r="Y206" s="358"/>
      <c r="Z206" s="358"/>
      <c r="AA206" s="358"/>
      <c r="AB206" s="358"/>
      <c r="AC206" s="358"/>
      <c r="AD206" s="358"/>
    </row>
    <row r="207">
      <c r="A207" s="347"/>
      <c r="B207" s="394"/>
      <c r="C207" s="394" t="s">
        <v>47</v>
      </c>
      <c r="D207" s="394" t="s">
        <v>49</v>
      </c>
      <c r="E207" s="395"/>
      <c r="F207" s="396" t="s">
        <v>82</v>
      </c>
      <c r="G207" s="422">
        <f>SUM(G208:G213)</f>
        <v>150730</v>
      </c>
      <c r="H207" s="365">
        <f>G207/$G$206</f>
        <v>0.9500009454</v>
      </c>
      <c r="I207" s="530"/>
      <c r="J207" s="423"/>
      <c r="K207" s="424"/>
      <c r="L207" s="424"/>
      <c r="M207" s="424"/>
      <c r="N207" s="424"/>
      <c r="O207" s="424"/>
      <c r="P207" s="424"/>
      <c r="Q207" s="424"/>
      <c r="R207" s="424"/>
      <c r="S207" s="424"/>
      <c r="T207" s="424"/>
      <c r="U207" s="424"/>
      <c r="V207" s="424"/>
      <c r="W207" s="424"/>
      <c r="X207" s="424"/>
      <c r="Y207" s="424"/>
      <c r="Z207" s="424"/>
      <c r="AA207" s="424"/>
      <c r="AB207" s="424"/>
      <c r="AC207" s="424"/>
      <c r="AD207" s="424"/>
    </row>
    <row r="208">
      <c r="A208" s="347"/>
      <c r="B208" s="323"/>
      <c r="C208" s="323"/>
      <c r="D208" s="323"/>
      <c r="E208" s="225" t="s">
        <v>148</v>
      </c>
      <c r="F208" s="428" t="s">
        <v>122</v>
      </c>
      <c r="G208" s="431">
        <v>12000.0</v>
      </c>
      <c r="H208" s="531">
        <f t="shared" ref="H208:H213" si="27">G208/$G$207</f>
        <v>0.07961255225</v>
      </c>
      <c r="I208" s="532" t="s">
        <v>282</v>
      </c>
      <c r="J208" s="337"/>
      <c r="K208" s="233"/>
      <c r="L208" s="233"/>
      <c r="M208" s="233"/>
      <c r="N208" s="233"/>
      <c r="O208" s="233"/>
      <c r="P208" s="233"/>
      <c r="Q208" s="233"/>
      <c r="R208" s="233"/>
      <c r="S208" s="233"/>
      <c r="T208" s="233"/>
      <c r="U208" s="233"/>
      <c r="V208" s="233"/>
      <c r="W208" s="233"/>
      <c r="X208" s="233"/>
      <c r="Y208" s="233"/>
      <c r="Z208" s="233"/>
      <c r="AA208" s="233"/>
      <c r="AB208" s="233"/>
      <c r="AC208" s="233"/>
      <c r="AD208" s="233"/>
    </row>
    <row r="209">
      <c r="A209" s="347"/>
      <c r="B209" s="323"/>
      <c r="C209" s="323"/>
      <c r="D209" s="323"/>
      <c r="E209" s="249" t="s">
        <v>140</v>
      </c>
      <c r="F209" s="391" t="s">
        <v>141</v>
      </c>
      <c r="G209" s="431">
        <v>60000.0</v>
      </c>
      <c r="H209" s="531">
        <f t="shared" si="27"/>
        <v>0.3980627612</v>
      </c>
      <c r="I209" s="532" t="s">
        <v>283</v>
      </c>
      <c r="J209" s="533"/>
      <c r="K209" s="276"/>
      <c r="L209" s="276"/>
      <c r="M209" s="276"/>
      <c r="N209" s="276"/>
      <c r="O209" s="276"/>
      <c r="P209" s="276"/>
      <c r="Q209" s="276"/>
      <c r="R209" s="276"/>
      <c r="S209" s="276"/>
      <c r="T209" s="276"/>
      <c r="U209" s="276"/>
      <c r="V209" s="276"/>
      <c r="W209" s="276"/>
      <c r="X209" s="276"/>
      <c r="Y209" s="276"/>
      <c r="Z209" s="276"/>
      <c r="AA209" s="276"/>
      <c r="AB209" s="276"/>
      <c r="AC209" s="276"/>
      <c r="AD209" s="276"/>
    </row>
    <row r="210">
      <c r="A210" s="347"/>
      <c r="B210" s="323"/>
      <c r="C210" s="323"/>
      <c r="D210" s="323"/>
      <c r="E210" s="249" t="s">
        <v>258</v>
      </c>
      <c r="F210" s="391" t="s">
        <v>259</v>
      </c>
      <c r="G210" s="431">
        <v>3000.0</v>
      </c>
      <c r="H210" s="531">
        <f t="shared" si="27"/>
        <v>0.01990313806</v>
      </c>
      <c r="I210" s="532" t="s">
        <v>284</v>
      </c>
      <c r="J210" s="533"/>
      <c r="K210" s="276"/>
      <c r="L210" s="276"/>
      <c r="M210" s="276"/>
      <c r="N210" s="276"/>
      <c r="O210" s="276"/>
      <c r="P210" s="276"/>
      <c r="Q210" s="276"/>
      <c r="R210" s="276"/>
      <c r="S210" s="276"/>
      <c r="T210" s="276"/>
      <c r="U210" s="276"/>
      <c r="V210" s="276"/>
      <c r="W210" s="276"/>
      <c r="X210" s="276"/>
      <c r="Y210" s="276"/>
      <c r="Z210" s="276"/>
      <c r="AA210" s="276"/>
      <c r="AB210" s="276"/>
      <c r="AC210" s="276"/>
      <c r="AD210" s="276"/>
    </row>
    <row r="211">
      <c r="A211" s="347"/>
      <c r="B211" s="323"/>
      <c r="C211" s="323"/>
      <c r="D211" s="323"/>
      <c r="E211" s="249" t="s">
        <v>285</v>
      </c>
      <c r="F211" s="391" t="s">
        <v>286</v>
      </c>
      <c r="G211" s="431">
        <v>490.0</v>
      </c>
      <c r="H211" s="531">
        <f t="shared" si="27"/>
        <v>0.003250845883</v>
      </c>
      <c r="I211" s="534" t="s">
        <v>287</v>
      </c>
      <c r="J211" s="535"/>
      <c r="K211" s="276"/>
      <c r="L211" s="276"/>
      <c r="M211" s="276"/>
      <c r="N211" s="276"/>
      <c r="O211" s="276"/>
      <c r="P211" s="276"/>
      <c r="Q211" s="276"/>
      <c r="R211" s="276"/>
      <c r="S211" s="276"/>
      <c r="T211" s="276"/>
      <c r="U211" s="276"/>
      <c r="V211" s="276"/>
      <c r="W211" s="276"/>
      <c r="X211" s="276"/>
      <c r="Y211" s="276"/>
      <c r="Z211" s="276"/>
      <c r="AA211" s="276"/>
      <c r="AB211" s="276"/>
      <c r="AC211" s="276"/>
      <c r="AD211" s="276"/>
    </row>
    <row r="212">
      <c r="A212" s="347"/>
      <c r="B212" s="323"/>
      <c r="C212" s="323"/>
      <c r="D212" s="323"/>
      <c r="E212" s="249" t="s">
        <v>288</v>
      </c>
      <c r="F212" s="391" t="s">
        <v>289</v>
      </c>
      <c r="G212" s="431">
        <v>75000.0</v>
      </c>
      <c r="H212" s="531">
        <f t="shared" si="27"/>
        <v>0.4975784515</v>
      </c>
      <c r="I212" s="534" t="s">
        <v>290</v>
      </c>
      <c r="J212" s="535"/>
      <c r="K212" s="276"/>
      <c r="L212" s="276"/>
      <c r="M212" s="276"/>
      <c r="N212" s="276"/>
      <c r="O212" s="276"/>
      <c r="P212" s="276"/>
      <c r="Q212" s="276"/>
      <c r="R212" s="276"/>
      <c r="S212" s="276"/>
      <c r="T212" s="276"/>
      <c r="U212" s="276"/>
      <c r="V212" s="276"/>
      <c r="W212" s="276"/>
      <c r="X212" s="276"/>
      <c r="Y212" s="276"/>
      <c r="Z212" s="276"/>
      <c r="AA212" s="276"/>
      <c r="AB212" s="276"/>
      <c r="AC212" s="276"/>
      <c r="AD212" s="276"/>
    </row>
    <row r="213">
      <c r="A213" s="347"/>
      <c r="B213" s="323"/>
      <c r="C213" s="323"/>
      <c r="D213" s="323"/>
      <c r="E213" s="249" t="s">
        <v>180</v>
      </c>
      <c r="F213" s="391" t="s">
        <v>181</v>
      </c>
      <c r="G213" s="431">
        <v>240.0</v>
      </c>
      <c r="H213" s="531">
        <f t="shared" si="27"/>
        <v>0.001592251045</v>
      </c>
      <c r="I213" s="532" t="s">
        <v>291</v>
      </c>
      <c r="J213" s="533"/>
      <c r="K213" s="276"/>
      <c r="L213" s="276"/>
      <c r="M213" s="276"/>
      <c r="N213" s="276"/>
      <c r="O213" s="276"/>
      <c r="P213" s="276"/>
      <c r="Q213" s="276"/>
      <c r="R213" s="276"/>
      <c r="S213" s="276"/>
      <c r="T213" s="276"/>
      <c r="U213" s="276"/>
      <c r="V213" s="276"/>
      <c r="W213" s="276"/>
      <c r="X213" s="276"/>
      <c r="Y213" s="276"/>
      <c r="Z213" s="276"/>
      <c r="AA213" s="276"/>
      <c r="AB213" s="276"/>
      <c r="AC213" s="276"/>
      <c r="AD213" s="276"/>
    </row>
    <row r="214">
      <c r="A214" s="405"/>
      <c r="B214" s="521"/>
      <c r="C214" s="522" t="s">
        <v>59</v>
      </c>
      <c r="D214" s="522" t="s">
        <v>59</v>
      </c>
      <c r="E214" s="523"/>
      <c r="F214" s="524" t="s">
        <v>60</v>
      </c>
      <c r="G214" s="525">
        <f>ROUND((G207)/95*5,0)</f>
        <v>7933</v>
      </c>
      <c r="H214" s="365">
        <f>G214/G206</f>
        <v>0.0499990546</v>
      </c>
      <c r="I214" s="526" t="s">
        <v>281</v>
      </c>
      <c r="J214" s="527"/>
      <c r="K214" s="295"/>
      <c r="L214" s="295"/>
      <c r="M214" s="295"/>
      <c r="N214" s="295"/>
      <c r="O214" s="295"/>
      <c r="P214" s="295"/>
      <c r="Q214" s="295"/>
      <c r="R214" s="295"/>
      <c r="S214" s="295"/>
      <c r="T214" s="295"/>
      <c r="U214" s="295"/>
      <c r="V214" s="295"/>
      <c r="W214" s="295"/>
      <c r="X214" s="295"/>
      <c r="Y214" s="295"/>
      <c r="Z214" s="295"/>
      <c r="AA214" s="295"/>
      <c r="AB214" s="295"/>
      <c r="AC214" s="295"/>
      <c r="AD214" s="295"/>
    </row>
    <row r="215">
      <c r="A215" s="347"/>
      <c r="B215" s="323"/>
      <c r="C215" s="323"/>
      <c r="D215" s="323"/>
      <c r="E215" s="249"/>
      <c r="F215" s="391"/>
      <c r="G215" s="431"/>
      <c r="H215" s="536"/>
      <c r="I215" s="453"/>
      <c r="J215" s="535"/>
      <c r="K215" s="276"/>
      <c r="L215" s="276"/>
      <c r="M215" s="276"/>
      <c r="N215" s="276"/>
      <c r="O215" s="276"/>
      <c r="P215" s="276"/>
      <c r="Q215" s="276"/>
      <c r="R215" s="276"/>
      <c r="S215" s="276"/>
      <c r="T215" s="276"/>
      <c r="U215" s="276"/>
      <c r="V215" s="276"/>
      <c r="W215" s="276"/>
      <c r="X215" s="276"/>
      <c r="Y215" s="276"/>
      <c r="Z215" s="276"/>
      <c r="AA215" s="276"/>
      <c r="AB215" s="276"/>
      <c r="AC215" s="276"/>
      <c r="AD215" s="276"/>
    </row>
    <row r="216">
      <c r="A216" s="347"/>
      <c r="B216" s="323"/>
      <c r="C216" s="323"/>
      <c r="D216" s="323"/>
      <c r="E216" s="249"/>
      <c r="F216" s="391"/>
      <c r="G216" s="431"/>
      <c r="H216" s="536"/>
      <c r="I216" s="453"/>
      <c r="J216" s="535"/>
      <c r="K216" s="276"/>
      <c r="L216" s="276"/>
      <c r="M216" s="276"/>
      <c r="N216" s="276"/>
      <c r="O216" s="276"/>
      <c r="P216" s="276"/>
      <c r="Q216" s="276"/>
      <c r="R216" s="276"/>
      <c r="S216" s="276"/>
      <c r="T216" s="276"/>
      <c r="U216" s="276"/>
      <c r="V216" s="276"/>
      <c r="W216" s="276"/>
      <c r="X216" s="276"/>
      <c r="Y216" s="276"/>
      <c r="Z216" s="276"/>
      <c r="AA216" s="276"/>
      <c r="AB216" s="276"/>
      <c r="AC216" s="276"/>
      <c r="AD216" s="276"/>
    </row>
    <row r="217">
      <c r="A217" s="350"/>
      <c r="B217" s="351" t="s">
        <v>83</v>
      </c>
      <c r="C217" s="351" t="s">
        <v>47</v>
      </c>
      <c r="D217" s="351" t="s">
        <v>47</v>
      </c>
      <c r="E217" s="352"/>
      <c r="F217" s="353" t="s">
        <v>23</v>
      </c>
      <c r="G217" s="421">
        <f>G218+G222</f>
        <v>25684</v>
      </c>
      <c r="H217" s="355">
        <f>G217/$G$8</f>
        <v>0.02169448956</v>
      </c>
      <c r="I217" s="353"/>
      <c r="J217" s="357"/>
      <c r="K217" s="358"/>
      <c r="L217" s="358"/>
      <c r="M217" s="358"/>
      <c r="N217" s="358"/>
      <c r="O217" s="358"/>
      <c r="P217" s="358"/>
      <c r="Q217" s="358"/>
      <c r="R217" s="358"/>
      <c r="S217" s="358"/>
      <c r="T217" s="358"/>
      <c r="U217" s="358"/>
      <c r="V217" s="358"/>
      <c r="W217" s="358"/>
      <c r="X217" s="358"/>
      <c r="Y217" s="358"/>
      <c r="Z217" s="358"/>
      <c r="AA217" s="358"/>
      <c r="AB217" s="358"/>
      <c r="AC217" s="358"/>
      <c r="AD217" s="358"/>
    </row>
    <row r="218">
      <c r="A218" s="347"/>
      <c r="B218" s="394"/>
      <c r="C218" s="394" t="s">
        <v>47</v>
      </c>
      <c r="D218" s="394" t="s">
        <v>46</v>
      </c>
      <c r="E218" s="395"/>
      <c r="F218" s="396" t="s">
        <v>48</v>
      </c>
      <c r="G218" s="422">
        <f>SUM(G219:G221)</f>
        <v>24400</v>
      </c>
      <c r="H218" s="365">
        <f>G218/$G$217</f>
        <v>0.9500077869</v>
      </c>
      <c r="I218" s="366"/>
      <c r="J218" s="537"/>
      <c r="K218" s="538"/>
      <c r="L218" s="538"/>
      <c r="M218" s="538"/>
      <c r="N218" s="538"/>
      <c r="O218" s="538"/>
      <c r="P218" s="538"/>
      <c r="Q218" s="538"/>
      <c r="R218" s="538"/>
      <c r="S218" s="538"/>
      <c r="T218" s="538"/>
      <c r="U218" s="538"/>
      <c r="V218" s="538"/>
      <c r="W218" s="538"/>
      <c r="X218" s="538"/>
      <c r="Y218" s="538"/>
      <c r="Z218" s="538"/>
      <c r="AA218" s="538"/>
      <c r="AB218" s="538"/>
      <c r="AC218" s="538"/>
      <c r="AD218" s="538"/>
    </row>
    <row r="219">
      <c r="A219" s="347"/>
      <c r="B219" s="323"/>
      <c r="C219" s="323"/>
      <c r="D219" s="323"/>
      <c r="E219" s="223" t="s">
        <v>123</v>
      </c>
      <c r="F219" s="348" t="s">
        <v>124</v>
      </c>
      <c r="G219" s="539">
        <v>19400.0</v>
      </c>
      <c r="H219" s="371">
        <f>G219/$G$218</f>
        <v>0.7950819672</v>
      </c>
      <c r="I219" s="348" t="s">
        <v>292</v>
      </c>
      <c r="J219" s="425"/>
      <c r="K219" s="426"/>
      <c r="L219" s="426"/>
      <c r="M219" s="426"/>
      <c r="N219" s="426"/>
      <c r="O219" s="426"/>
      <c r="P219" s="426"/>
      <c r="Q219" s="426"/>
      <c r="R219" s="426"/>
      <c r="S219" s="426"/>
      <c r="T219" s="426"/>
      <c r="U219" s="426"/>
      <c r="V219" s="426"/>
      <c r="W219" s="426"/>
      <c r="X219" s="426"/>
      <c r="Y219" s="426"/>
      <c r="Z219" s="426"/>
      <c r="AA219" s="426"/>
      <c r="AB219" s="426"/>
      <c r="AC219" s="426"/>
      <c r="AD219" s="426"/>
    </row>
    <row r="220">
      <c r="A220" s="347"/>
      <c r="B220" s="323"/>
      <c r="C220" s="323"/>
      <c r="D220" s="323"/>
      <c r="E220" s="223"/>
      <c r="F220" s="348"/>
      <c r="G220" s="434"/>
      <c r="H220" s="336"/>
      <c r="I220" s="348" t="s">
        <v>293</v>
      </c>
      <c r="J220" s="540"/>
      <c r="K220" s="298"/>
      <c r="L220" s="298"/>
      <c r="M220" s="298"/>
      <c r="N220" s="298"/>
      <c r="O220" s="298"/>
      <c r="P220" s="298"/>
      <c r="Q220" s="298"/>
      <c r="R220" s="298"/>
      <c r="S220" s="298"/>
      <c r="T220" s="298"/>
      <c r="U220" s="298"/>
      <c r="V220" s="298"/>
      <c r="W220" s="298"/>
      <c r="X220" s="298"/>
      <c r="Y220" s="298"/>
      <c r="Z220" s="298"/>
      <c r="AA220" s="298"/>
      <c r="AB220" s="298"/>
      <c r="AC220" s="298"/>
      <c r="AD220" s="298"/>
    </row>
    <row r="221">
      <c r="A221" s="347"/>
      <c r="B221" s="323"/>
      <c r="C221" s="323"/>
      <c r="D221" s="323"/>
      <c r="E221" s="223" t="s">
        <v>126</v>
      </c>
      <c r="F221" s="348" t="s">
        <v>127</v>
      </c>
      <c r="G221" s="434">
        <v>5000.0</v>
      </c>
      <c r="H221" s="371">
        <f>G221/$G$218</f>
        <v>0.2049180328</v>
      </c>
      <c r="I221" s="348" t="s">
        <v>166</v>
      </c>
      <c r="J221" s="540"/>
      <c r="K221" s="298"/>
      <c r="L221" s="298"/>
      <c r="M221" s="298"/>
      <c r="N221" s="298"/>
      <c r="O221" s="298"/>
      <c r="P221" s="298"/>
      <c r="Q221" s="298"/>
      <c r="R221" s="298"/>
      <c r="S221" s="298"/>
      <c r="T221" s="298"/>
      <c r="U221" s="298"/>
      <c r="V221" s="298"/>
      <c r="W221" s="298"/>
      <c r="X221" s="298"/>
      <c r="Y221" s="298"/>
      <c r="Z221" s="298"/>
      <c r="AA221" s="298"/>
      <c r="AB221" s="298"/>
      <c r="AC221" s="298"/>
      <c r="AD221" s="298"/>
    </row>
    <row r="222">
      <c r="A222" s="347"/>
      <c r="B222" s="394"/>
      <c r="C222" s="394" t="s">
        <v>59</v>
      </c>
      <c r="D222" s="394" t="s">
        <v>59</v>
      </c>
      <c r="E222" s="395"/>
      <c r="F222" s="396" t="s">
        <v>60</v>
      </c>
      <c r="G222" s="422">
        <f>Round((G218)/95*5,0)</f>
        <v>1284</v>
      </c>
      <c r="H222" s="365">
        <f>G222/$G$217</f>
        <v>0.04999221305</v>
      </c>
      <c r="I222" s="396"/>
      <c r="J222" s="537"/>
      <c r="K222" s="538"/>
      <c r="L222" s="538"/>
      <c r="M222" s="538"/>
      <c r="N222" s="538"/>
      <c r="O222" s="538"/>
      <c r="P222" s="538"/>
      <c r="Q222" s="538"/>
      <c r="R222" s="538"/>
      <c r="S222" s="538"/>
      <c r="T222" s="538"/>
      <c r="U222" s="538"/>
      <c r="V222" s="538"/>
      <c r="W222" s="538"/>
      <c r="X222" s="538"/>
      <c r="Y222" s="538"/>
      <c r="Z222" s="538"/>
      <c r="AA222" s="538"/>
      <c r="AB222" s="538"/>
      <c r="AC222" s="538"/>
      <c r="AD222" s="538"/>
    </row>
    <row r="223">
      <c r="A223" s="347"/>
      <c r="B223" s="323"/>
      <c r="C223" s="323"/>
      <c r="D223" s="323"/>
      <c r="E223" s="223"/>
      <c r="F223" s="348"/>
      <c r="G223" s="434"/>
      <c r="H223" s="336"/>
      <c r="I223" s="541"/>
      <c r="J223" s="540"/>
      <c r="K223" s="298"/>
      <c r="L223" s="298"/>
      <c r="M223" s="298"/>
      <c r="N223" s="298"/>
      <c r="O223" s="298"/>
      <c r="P223" s="298"/>
      <c r="Q223" s="298"/>
      <c r="R223" s="298"/>
      <c r="S223" s="298"/>
      <c r="T223" s="298"/>
      <c r="U223" s="298"/>
      <c r="V223" s="298"/>
      <c r="W223" s="298"/>
      <c r="X223" s="298"/>
      <c r="Y223" s="298"/>
      <c r="Z223" s="298"/>
      <c r="AA223" s="298"/>
      <c r="AB223" s="298"/>
      <c r="AC223" s="298"/>
      <c r="AD223" s="298"/>
    </row>
    <row r="224">
      <c r="A224" s="347"/>
      <c r="B224" s="323"/>
      <c r="C224" s="323"/>
      <c r="D224" s="323"/>
      <c r="E224" s="223"/>
      <c r="F224" s="348"/>
      <c r="G224" s="434"/>
      <c r="H224" s="371"/>
      <c r="I224" s="453"/>
      <c r="J224" s="337"/>
      <c r="K224" s="233"/>
      <c r="L224" s="233"/>
      <c r="M224" s="233"/>
      <c r="N224" s="233"/>
      <c r="O224" s="233"/>
      <c r="P224" s="233"/>
      <c r="Q224" s="233"/>
      <c r="R224" s="233"/>
      <c r="S224" s="233"/>
      <c r="T224" s="233"/>
      <c r="U224" s="233"/>
      <c r="V224" s="233"/>
      <c r="W224" s="233"/>
      <c r="X224" s="233"/>
      <c r="Y224" s="233"/>
      <c r="Z224" s="233"/>
      <c r="AA224" s="233"/>
      <c r="AB224" s="233"/>
      <c r="AC224" s="233"/>
      <c r="AD224" s="233"/>
    </row>
    <row r="225">
      <c r="A225" s="350"/>
      <c r="B225" s="351" t="s">
        <v>84</v>
      </c>
      <c r="C225" s="351" t="s">
        <v>47</v>
      </c>
      <c r="D225" s="351" t="s">
        <v>47</v>
      </c>
      <c r="E225" s="352"/>
      <c r="F225" s="353" t="s">
        <v>24</v>
      </c>
      <c r="G225" s="421">
        <f>G226+G239+G254</f>
        <v>376232</v>
      </c>
      <c r="H225" s="355">
        <f>G225/$G$8</f>
        <v>0.3177916678</v>
      </c>
      <c r="I225" s="353"/>
      <c r="J225" s="357"/>
      <c r="K225" s="358"/>
      <c r="L225" s="358"/>
      <c r="M225" s="358"/>
      <c r="N225" s="358"/>
      <c r="O225" s="358"/>
      <c r="P225" s="358"/>
      <c r="Q225" s="358"/>
      <c r="R225" s="358"/>
      <c r="S225" s="358"/>
      <c r="T225" s="358"/>
      <c r="U225" s="358"/>
      <c r="V225" s="358"/>
      <c r="W225" s="358"/>
      <c r="X225" s="358"/>
      <c r="Y225" s="358"/>
      <c r="Z225" s="358"/>
      <c r="AA225" s="358"/>
      <c r="AB225" s="358"/>
      <c r="AC225" s="358"/>
      <c r="AD225" s="358"/>
    </row>
    <row r="226">
      <c r="A226" s="347"/>
      <c r="B226" s="394"/>
      <c r="C226" s="394" t="s">
        <v>47</v>
      </c>
      <c r="D226" s="394" t="s">
        <v>46</v>
      </c>
      <c r="E226" s="395"/>
      <c r="F226" s="396" t="s">
        <v>48</v>
      </c>
      <c r="G226" s="422">
        <f>SUM(G227:G238)</f>
        <v>45000</v>
      </c>
      <c r="H226" s="365">
        <f>G226/$G$225</f>
        <v>0.119607051</v>
      </c>
      <c r="I226" s="396"/>
      <c r="J226" s="423"/>
      <c r="K226" s="424"/>
      <c r="L226" s="424"/>
      <c r="M226" s="424"/>
      <c r="N226" s="424"/>
      <c r="O226" s="424"/>
      <c r="P226" s="424"/>
      <c r="Q226" s="424"/>
      <c r="R226" s="424"/>
      <c r="S226" s="424"/>
      <c r="T226" s="424"/>
      <c r="U226" s="424"/>
      <c r="V226" s="424"/>
      <c r="W226" s="424"/>
      <c r="X226" s="424"/>
      <c r="Y226" s="424"/>
      <c r="Z226" s="424"/>
      <c r="AA226" s="424"/>
      <c r="AB226" s="424"/>
      <c r="AC226" s="424"/>
      <c r="AD226" s="424"/>
    </row>
    <row r="227">
      <c r="A227" s="347"/>
      <c r="B227" s="323"/>
      <c r="C227" s="323"/>
      <c r="D227" s="323"/>
      <c r="E227" s="189" t="s">
        <v>123</v>
      </c>
      <c r="F227" s="400" t="s">
        <v>124</v>
      </c>
      <c r="G227" s="542">
        <v>14000.0</v>
      </c>
      <c r="H227" s="371">
        <f>G227/$G$226</f>
        <v>0.3111111111</v>
      </c>
      <c r="I227" s="543" t="s">
        <v>294</v>
      </c>
      <c r="J227" s="337"/>
      <c r="K227" s="233"/>
      <c r="L227" s="233"/>
      <c r="M227" s="233"/>
      <c r="N227" s="233"/>
      <c r="O227" s="233"/>
      <c r="P227" s="233"/>
      <c r="Q227" s="233"/>
      <c r="R227" s="233"/>
      <c r="S227" s="233"/>
      <c r="T227" s="233"/>
      <c r="U227" s="233"/>
      <c r="V227" s="233"/>
      <c r="W227" s="233"/>
      <c r="X227" s="233"/>
      <c r="Y227" s="233"/>
      <c r="Z227" s="233"/>
      <c r="AA227" s="233"/>
      <c r="AB227" s="233"/>
      <c r="AC227" s="233"/>
      <c r="AD227" s="233"/>
    </row>
    <row r="228">
      <c r="A228" s="192"/>
      <c r="B228" s="494"/>
      <c r="C228" s="494"/>
      <c r="D228" s="192"/>
      <c r="E228" s="189"/>
      <c r="F228" s="406"/>
      <c r="G228" s="544"/>
      <c r="H228" s="371"/>
      <c r="I228" s="545" t="s">
        <v>295</v>
      </c>
      <c r="J228" s="475"/>
      <c r="K228" s="276"/>
      <c r="L228" s="276"/>
      <c r="M228" s="276"/>
      <c r="N228" s="276"/>
      <c r="O228" s="276"/>
      <c r="P228" s="276"/>
      <c r="Q228" s="276"/>
      <c r="R228" s="276"/>
      <c r="S228" s="276"/>
      <c r="T228" s="276"/>
      <c r="U228" s="276"/>
      <c r="V228" s="276"/>
      <c r="W228" s="276"/>
      <c r="X228" s="276"/>
      <c r="Y228" s="276"/>
      <c r="Z228" s="276"/>
      <c r="AA228" s="276"/>
      <c r="AB228" s="276"/>
      <c r="AC228" s="276"/>
      <c r="AD228" s="276"/>
    </row>
    <row r="229">
      <c r="A229" s="192"/>
      <c r="B229" s="494"/>
      <c r="C229" s="494"/>
      <c r="D229" s="192"/>
      <c r="E229" s="189"/>
      <c r="F229" s="406"/>
      <c r="G229" s="544"/>
      <c r="H229" s="371"/>
      <c r="I229" s="545" t="s">
        <v>296</v>
      </c>
      <c r="J229" s="475"/>
      <c r="K229" s="276"/>
      <c r="L229" s="276"/>
      <c r="M229" s="276"/>
      <c r="N229" s="276"/>
      <c r="O229" s="276"/>
      <c r="P229" s="276"/>
      <c r="Q229" s="276"/>
      <c r="R229" s="276"/>
      <c r="S229" s="276"/>
      <c r="T229" s="276"/>
      <c r="U229" s="276"/>
      <c r="V229" s="276"/>
      <c r="W229" s="276"/>
      <c r="X229" s="276"/>
      <c r="Y229" s="276"/>
      <c r="Z229" s="276"/>
      <c r="AA229" s="276"/>
      <c r="AB229" s="276"/>
      <c r="AC229" s="276"/>
      <c r="AD229" s="276"/>
    </row>
    <row r="230">
      <c r="A230" s="192"/>
      <c r="B230" s="494"/>
      <c r="C230" s="494"/>
      <c r="D230" s="192"/>
      <c r="E230" s="189"/>
      <c r="F230" s="406"/>
      <c r="G230" s="544"/>
      <c r="H230" s="371"/>
      <c r="I230" s="541" t="s">
        <v>297</v>
      </c>
      <c r="J230" s="475"/>
      <c r="K230" s="276"/>
      <c r="L230" s="276"/>
      <c r="M230" s="276"/>
      <c r="N230" s="276"/>
      <c r="O230" s="276"/>
      <c r="P230" s="276"/>
      <c r="Q230" s="276"/>
      <c r="R230" s="276"/>
      <c r="S230" s="276"/>
      <c r="T230" s="276"/>
      <c r="U230" s="276"/>
      <c r="V230" s="276"/>
      <c r="W230" s="276"/>
      <c r="X230" s="276"/>
      <c r="Y230" s="276"/>
      <c r="Z230" s="276"/>
      <c r="AA230" s="276"/>
      <c r="AB230" s="276"/>
      <c r="AC230" s="276"/>
      <c r="AD230" s="276"/>
    </row>
    <row r="231">
      <c r="A231" s="192"/>
      <c r="B231" s="494"/>
      <c r="C231" s="494"/>
      <c r="D231" s="192"/>
      <c r="E231" s="197"/>
      <c r="F231" s="372"/>
      <c r="G231" s="546"/>
      <c r="H231" s="371"/>
      <c r="I231" s="541" t="s">
        <v>298</v>
      </c>
      <c r="J231" s="475"/>
      <c r="K231" s="276"/>
      <c r="L231" s="276"/>
      <c r="M231" s="276"/>
      <c r="N231" s="276"/>
      <c r="O231" s="276"/>
      <c r="P231" s="276"/>
      <c r="Q231" s="276"/>
      <c r="R231" s="276"/>
      <c r="S231" s="276"/>
      <c r="T231" s="276"/>
      <c r="U231" s="276"/>
      <c r="V231" s="276"/>
      <c r="W231" s="276"/>
      <c r="X231" s="276"/>
      <c r="Y231" s="276"/>
      <c r="Z231" s="276"/>
      <c r="AA231" s="276"/>
      <c r="AB231" s="276"/>
      <c r="AC231" s="276"/>
      <c r="AD231" s="276"/>
    </row>
    <row r="232">
      <c r="A232" s="192"/>
      <c r="B232" s="494"/>
      <c r="C232" s="494"/>
      <c r="D232" s="192"/>
      <c r="E232" s="547"/>
      <c r="F232" s="391"/>
      <c r="G232" s="251"/>
      <c r="H232" s="371"/>
      <c r="I232" s="369" t="s">
        <v>299</v>
      </c>
      <c r="J232" s="535"/>
      <c r="K232" s="254"/>
      <c r="L232" s="254"/>
      <c r="M232" s="254"/>
      <c r="N232" s="254"/>
      <c r="O232" s="254"/>
      <c r="P232" s="254"/>
      <c r="Q232" s="254"/>
      <c r="R232" s="254"/>
      <c r="S232" s="254"/>
      <c r="T232" s="254"/>
      <c r="U232" s="254"/>
      <c r="V232" s="254"/>
      <c r="W232" s="254"/>
      <c r="X232" s="254"/>
      <c r="Y232" s="254"/>
      <c r="Z232" s="254"/>
      <c r="AA232" s="254"/>
      <c r="AB232" s="254"/>
      <c r="AC232" s="254"/>
      <c r="AD232" s="254"/>
    </row>
    <row r="233">
      <c r="A233" s="192"/>
      <c r="B233" s="494"/>
      <c r="C233" s="494"/>
      <c r="D233" s="192"/>
      <c r="E233" s="189" t="s">
        <v>148</v>
      </c>
      <c r="F233" s="400" t="s">
        <v>122</v>
      </c>
      <c r="G233" s="548">
        <v>500.0</v>
      </c>
      <c r="H233" s="371">
        <f t="shared" ref="H233:H238" si="28">G233/$G$226</f>
        <v>0.01111111111</v>
      </c>
      <c r="I233" s="474" t="s">
        <v>300</v>
      </c>
      <c r="J233" s="475"/>
      <c r="K233" s="276"/>
      <c r="L233" s="276"/>
      <c r="M233" s="276"/>
      <c r="N233" s="276"/>
      <c r="O233" s="276"/>
      <c r="P233" s="276"/>
      <c r="Q233" s="276"/>
      <c r="R233" s="276"/>
      <c r="S233" s="276"/>
      <c r="T233" s="276"/>
      <c r="U233" s="276"/>
      <c r="V233" s="276"/>
      <c r="W233" s="276"/>
      <c r="X233" s="276"/>
      <c r="Y233" s="276"/>
      <c r="Z233" s="276"/>
      <c r="AA233" s="276"/>
      <c r="AB233" s="276"/>
      <c r="AC233" s="276"/>
      <c r="AD233" s="276"/>
    </row>
    <row r="234">
      <c r="A234" s="192"/>
      <c r="B234" s="494"/>
      <c r="C234" s="494"/>
      <c r="D234" s="192"/>
      <c r="E234" s="189" t="s">
        <v>126</v>
      </c>
      <c r="F234" s="400" t="s">
        <v>127</v>
      </c>
      <c r="G234" s="548">
        <v>5000.0</v>
      </c>
      <c r="H234" s="371">
        <f t="shared" si="28"/>
        <v>0.1111111111</v>
      </c>
      <c r="I234" s="474" t="s">
        <v>301</v>
      </c>
      <c r="J234" s="535"/>
      <c r="K234" s="254"/>
      <c r="L234" s="254"/>
      <c r="M234" s="254"/>
      <c r="N234" s="254"/>
      <c r="O234" s="254"/>
      <c r="P234" s="254"/>
      <c r="Q234" s="254"/>
      <c r="R234" s="254"/>
      <c r="S234" s="254"/>
      <c r="T234" s="254"/>
      <c r="U234" s="254"/>
      <c r="V234" s="254"/>
      <c r="W234" s="254"/>
      <c r="X234" s="254"/>
      <c r="Y234" s="254"/>
      <c r="Z234" s="254"/>
      <c r="AA234" s="254"/>
      <c r="AB234" s="254"/>
      <c r="AC234" s="254"/>
      <c r="AD234" s="254"/>
    </row>
    <row r="235">
      <c r="A235" s="192"/>
      <c r="B235" s="494"/>
      <c r="C235" s="494"/>
      <c r="D235" s="192"/>
      <c r="E235" s="189" t="s">
        <v>129</v>
      </c>
      <c r="F235" s="513" t="s">
        <v>130</v>
      </c>
      <c r="G235" s="548">
        <v>5000.0</v>
      </c>
      <c r="H235" s="371">
        <f t="shared" si="28"/>
        <v>0.1111111111</v>
      </c>
      <c r="I235" s="474" t="s">
        <v>302</v>
      </c>
      <c r="J235" s="535"/>
      <c r="K235" s="254"/>
      <c r="L235" s="254"/>
      <c r="M235" s="254"/>
      <c r="N235" s="254"/>
      <c r="O235" s="254"/>
      <c r="P235" s="254"/>
      <c r="Q235" s="254"/>
      <c r="R235" s="254"/>
      <c r="S235" s="254"/>
      <c r="T235" s="254"/>
      <c r="U235" s="254"/>
      <c r="V235" s="254"/>
      <c r="W235" s="254"/>
      <c r="X235" s="254"/>
      <c r="Y235" s="254"/>
      <c r="Z235" s="254"/>
      <c r="AA235" s="254"/>
      <c r="AB235" s="254"/>
      <c r="AC235" s="254"/>
      <c r="AD235" s="254"/>
    </row>
    <row r="236">
      <c r="A236" s="192"/>
      <c r="B236" s="494"/>
      <c r="C236" s="494"/>
      <c r="D236" s="192"/>
      <c r="E236" s="189" t="s">
        <v>132</v>
      </c>
      <c r="F236" s="400" t="s">
        <v>133</v>
      </c>
      <c r="G236" s="548">
        <v>15000.0</v>
      </c>
      <c r="H236" s="371">
        <f t="shared" si="28"/>
        <v>0.3333333333</v>
      </c>
      <c r="I236" s="532" t="s">
        <v>303</v>
      </c>
      <c r="J236" s="535"/>
      <c r="K236" s="254"/>
      <c r="L236" s="254"/>
      <c r="M236" s="254"/>
      <c r="N236" s="254"/>
      <c r="O236" s="254"/>
      <c r="P236" s="254"/>
      <c r="Q236" s="254"/>
      <c r="R236" s="254"/>
      <c r="S236" s="254"/>
      <c r="T236" s="254"/>
      <c r="U236" s="254"/>
      <c r="V236" s="254"/>
      <c r="W236" s="254"/>
      <c r="X236" s="254"/>
      <c r="Y236" s="254"/>
      <c r="Z236" s="254"/>
      <c r="AA236" s="254"/>
      <c r="AB236" s="254"/>
      <c r="AC236" s="254"/>
      <c r="AD236" s="254"/>
    </row>
    <row r="237">
      <c r="A237" s="192"/>
      <c r="B237" s="494"/>
      <c r="C237" s="494"/>
      <c r="D237" s="192"/>
      <c r="E237" s="189" t="s">
        <v>255</v>
      </c>
      <c r="F237" s="400" t="s">
        <v>256</v>
      </c>
      <c r="G237" s="548">
        <v>5000.0</v>
      </c>
      <c r="H237" s="371">
        <f t="shared" si="28"/>
        <v>0.1111111111</v>
      </c>
      <c r="I237" s="549" t="s">
        <v>304</v>
      </c>
      <c r="J237" s="535"/>
      <c r="K237" s="254"/>
      <c r="L237" s="254"/>
      <c r="M237" s="254"/>
      <c r="N237" s="254"/>
      <c r="O237" s="254"/>
      <c r="P237" s="254"/>
      <c r="Q237" s="254"/>
      <c r="R237" s="254"/>
      <c r="S237" s="254"/>
      <c r="T237" s="254"/>
      <c r="U237" s="254"/>
      <c r="V237" s="254"/>
      <c r="W237" s="254"/>
      <c r="X237" s="254"/>
      <c r="Y237" s="254"/>
      <c r="Z237" s="254"/>
      <c r="AA237" s="254"/>
      <c r="AB237" s="254"/>
      <c r="AC237" s="254"/>
      <c r="AD237" s="254"/>
    </row>
    <row r="238">
      <c r="A238" s="192"/>
      <c r="B238" s="494"/>
      <c r="C238" s="494"/>
      <c r="D238" s="192"/>
      <c r="E238" s="189" t="s">
        <v>135</v>
      </c>
      <c r="F238" s="400" t="s">
        <v>136</v>
      </c>
      <c r="G238" s="548">
        <v>500.0</v>
      </c>
      <c r="H238" s="371">
        <f t="shared" si="28"/>
        <v>0.01111111111</v>
      </c>
      <c r="I238" s="474" t="s">
        <v>305</v>
      </c>
      <c r="J238" s="535"/>
      <c r="K238" s="254"/>
      <c r="L238" s="254"/>
      <c r="M238" s="254"/>
      <c r="N238" s="254"/>
      <c r="O238" s="254"/>
      <c r="P238" s="254"/>
      <c r="Q238" s="254"/>
      <c r="R238" s="254"/>
      <c r="S238" s="254"/>
      <c r="T238" s="254"/>
      <c r="U238" s="254"/>
      <c r="V238" s="254"/>
      <c r="W238" s="254"/>
      <c r="X238" s="254"/>
      <c r="Y238" s="254"/>
      <c r="Z238" s="254"/>
      <c r="AA238" s="254"/>
      <c r="AB238" s="254"/>
      <c r="AC238" s="254"/>
      <c r="AD238" s="254"/>
    </row>
    <row r="239">
      <c r="A239" s="192"/>
      <c r="B239" s="521"/>
      <c r="C239" s="521" t="s">
        <v>47</v>
      </c>
      <c r="D239" s="523" t="s">
        <v>49</v>
      </c>
      <c r="E239" s="550"/>
      <c r="F239" s="524" t="s">
        <v>85</v>
      </c>
      <c r="G239" s="551">
        <f>SUM(G240:G253)</f>
        <v>312420</v>
      </c>
      <c r="H239" s="365">
        <f>G239/$G$225</f>
        <v>0.8303918859</v>
      </c>
      <c r="I239" s="524"/>
      <c r="J239" s="552"/>
      <c r="K239" s="295"/>
      <c r="L239" s="295"/>
      <c r="M239" s="295"/>
      <c r="N239" s="295"/>
      <c r="O239" s="295"/>
      <c r="P239" s="295"/>
      <c r="Q239" s="295"/>
      <c r="R239" s="295"/>
      <c r="S239" s="295"/>
      <c r="T239" s="295"/>
      <c r="U239" s="295"/>
      <c r="V239" s="295"/>
      <c r="W239" s="295"/>
      <c r="X239" s="295"/>
      <c r="Y239" s="295"/>
      <c r="Z239" s="295"/>
      <c r="AA239" s="295"/>
      <c r="AB239" s="295"/>
      <c r="AC239" s="295"/>
      <c r="AD239" s="295"/>
    </row>
    <row r="240">
      <c r="A240" s="192"/>
      <c r="B240" s="494"/>
      <c r="C240" s="494"/>
      <c r="D240" s="192"/>
      <c r="E240" s="189" t="s">
        <v>143</v>
      </c>
      <c r="F240" s="406" t="s">
        <v>144</v>
      </c>
      <c r="G240" s="553">
        <v>227620.0</v>
      </c>
      <c r="H240" s="371">
        <f>G240/$G$239</f>
        <v>0.7285705141</v>
      </c>
      <c r="I240" s="543" t="s">
        <v>306</v>
      </c>
      <c r="J240" s="513"/>
      <c r="K240" s="275"/>
      <c r="L240" s="275"/>
      <c r="M240" s="276"/>
      <c r="N240" s="276"/>
      <c r="O240" s="276"/>
      <c r="P240" s="276"/>
      <c r="Q240" s="276"/>
      <c r="R240" s="276"/>
      <c r="S240" s="276"/>
      <c r="T240" s="276"/>
      <c r="U240" s="276"/>
      <c r="V240" s="276"/>
      <c r="W240" s="276"/>
      <c r="X240" s="276"/>
      <c r="Y240" s="276"/>
      <c r="Z240" s="276"/>
      <c r="AA240" s="276"/>
      <c r="AB240" s="276"/>
      <c r="AC240" s="276"/>
      <c r="AD240" s="276"/>
    </row>
    <row r="241">
      <c r="A241" s="192"/>
      <c r="B241" s="494"/>
      <c r="C241" s="494"/>
      <c r="D241" s="192"/>
      <c r="E241" s="189"/>
      <c r="F241" s="406"/>
      <c r="G241" s="544"/>
      <c r="H241" s="371"/>
      <c r="I241" s="554" t="s">
        <v>307</v>
      </c>
      <c r="J241" s="513"/>
      <c r="K241" s="275"/>
      <c r="L241" s="275"/>
      <c r="M241" s="276"/>
      <c r="N241" s="276"/>
      <c r="O241" s="276"/>
      <c r="P241" s="276"/>
      <c r="Q241" s="276"/>
      <c r="R241" s="276"/>
      <c r="S241" s="276"/>
      <c r="T241" s="276"/>
      <c r="U241" s="276"/>
      <c r="V241" s="276"/>
      <c r="W241" s="276"/>
      <c r="X241" s="276"/>
      <c r="Y241" s="276"/>
      <c r="Z241" s="276"/>
      <c r="AA241" s="276"/>
      <c r="AB241" s="276"/>
      <c r="AC241" s="276"/>
      <c r="AD241" s="276"/>
    </row>
    <row r="242">
      <c r="A242" s="192"/>
      <c r="B242" s="494"/>
      <c r="C242" s="494"/>
      <c r="D242" s="192"/>
      <c r="E242" s="189"/>
      <c r="F242" s="406"/>
      <c r="G242" s="544"/>
      <c r="H242" s="371"/>
      <c r="I242" s="554" t="s">
        <v>308</v>
      </c>
      <c r="J242" s="513"/>
      <c r="K242" s="275"/>
      <c r="L242" s="275"/>
      <c r="M242" s="276"/>
      <c r="N242" s="276"/>
      <c r="O242" s="276"/>
      <c r="P242" s="276"/>
      <c r="Q242" s="276"/>
      <c r="R242" s="276"/>
      <c r="S242" s="276"/>
      <c r="T242" s="276"/>
      <c r="U242" s="276"/>
      <c r="V242" s="276"/>
      <c r="W242" s="276"/>
      <c r="X242" s="276"/>
      <c r="Y242" s="276"/>
      <c r="Z242" s="276"/>
      <c r="AA242" s="276"/>
      <c r="AB242" s="276"/>
      <c r="AC242" s="276"/>
      <c r="AD242" s="276"/>
    </row>
    <row r="243">
      <c r="A243" s="192"/>
      <c r="B243" s="494"/>
      <c r="C243" s="494"/>
      <c r="D243" s="192"/>
      <c r="E243" s="189"/>
      <c r="F243" s="406"/>
      <c r="G243" s="544"/>
      <c r="H243" s="371"/>
      <c r="I243" s="545" t="s">
        <v>309</v>
      </c>
      <c r="J243" s="475"/>
      <c r="K243" s="276"/>
      <c r="L243" s="276">
        <f>L240+L241+L242</f>
        <v>0</v>
      </c>
      <c r="M243" s="276"/>
      <c r="N243" s="276"/>
      <c r="O243" s="276"/>
      <c r="P243" s="276"/>
      <c r="Q243" s="276"/>
      <c r="R243" s="276"/>
      <c r="S243" s="276"/>
      <c r="T243" s="276"/>
      <c r="U243" s="276"/>
      <c r="V243" s="276"/>
      <c r="W243" s="276"/>
      <c r="X243" s="276"/>
      <c r="Y243" s="276"/>
      <c r="Z243" s="276"/>
      <c r="AA243" s="276"/>
      <c r="AB243" s="276"/>
      <c r="AC243" s="276"/>
      <c r="AD243" s="276"/>
    </row>
    <row r="244">
      <c r="A244" s="192"/>
      <c r="B244" s="494"/>
      <c r="C244" s="494"/>
      <c r="D244" s="192"/>
      <c r="E244" s="189"/>
      <c r="F244" s="406"/>
      <c r="G244" s="544"/>
      <c r="H244" s="371"/>
      <c r="I244" s="545" t="s">
        <v>310</v>
      </c>
      <c r="J244" s="475"/>
      <c r="K244" s="276"/>
      <c r="L244" s="276"/>
      <c r="M244" s="276"/>
      <c r="N244" s="276"/>
      <c r="O244" s="276"/>
      <c r="P244" s="276"/>
      <c r="Q244" s="276"/>
      <c r="R244" s="276"/>
      <c r="S244" s="276"/>
      <c r="T244" s="276"/>
      <c r="U244" s="276"/>
      <c r="V244" s="276"/>
      <c r="W244" s="276"/>
      <c r="X244" s="276"/>
      <c r="Y244" s="276"/>
      <c r="Z244" s="276"/>
      <c r="AA244" s="276"/>
      <c r="AB244" s="276"/>
      <c r="AC244" s="276"/>
      <c r="AD244" s="276"/>
    </row>
    <row r="245">
      <c r="A245" s="192"/>
      <c r="B245" s="494"/>
      <c r="C245" s="494"/>
      <c r="D245" s="192"/>
      <c r="E245" s="547" t="s">
        <v>311</v>
      </c>
      <c r="F245" s="391" t="s">
        <v>312</v>
      </c>
      <c r="G245" s="555">
        <v>5000.0</v>
      </c>
      <c r="H245" s="371">
        <f t="shared" ref="H245:H253" si="29">G245/$G$239</f>
        <v>0.01600409705</v>
      </c>
      <c r="I245" s="543" t="s">
        <v>313</v>
      </c>
      <c r="J245" s="535"/>
      <c r="K245" s="254"/>
      <c r="L245" s="254"/>
      <c r="M245" s="254"/>
      <c r="N245" s="254"/>
      <c r="O245" s="254"/>
      <c r="P245" s="254"/>
      <c r="Q245" s="254"/>
      <c r="R245" s="254"/>
      <c r="S245" s="254"/>
      <c r="T245" s="254"/>
      <c r="U245" s="254"/>
      <c r="V245" s="254"/>
      <c r="W245" s="254"/>
      <c r="X245" s="254"/>
      <c r="Y245" s="254"/>
      <c r="Z245" s="254"/>
      <c r="AA245" s="254"/>
      <c r="AB245" s="254"/>
      <c r="AC245" s="254"/>
      <c r="AD245" s="254"/>
    </row>
    <row r="246">
      <c r="A246" s="192"/>
      <c r="B246" s="494"/>
      <c r="C246" s="494"/>
      <c r="D246" s="192"/>
      <c r="E246" s="547" t="s">
        <v>314</v>
      </c>
      <c r="F246" s="391" t="s">
        <v>315</v>
      </c>
      <c r="G246" s="555">
        <v>2000.0</v>
      </c>
      <c r="H246" s="371">
        <f t="shared" si="29"/>
        <v>0.00640163882</v>
      </c>
      <c r="I246" s="543" t="s">
        <v>316</v>
      </c>
      <c r="J246" s="535"/>
      <c r="K246" s="254"/>
      <c r="L246" s="254"/>
      <c r="M246" s="254"/>
      <c r="N246" s="254"/>
      <c r="O246" s="254"/>
      <c r="P246" s="254"/>
      <c r="Q246" s="254"/>
      <c r="R246" s="254"/>
      <c r="S246" s="254"/>
      <c r="T246" s="254"/>
      <c r="U246" s="254"/>
      <c r="V246" s="254"/>
      <c r="W246" s="254"/>
      <c r="X246" s="254"/>
      <c r="Y246" s="254"/>
      <c r="Z246" s="254"/>
      <c r="AA246" s="254"/>
      <c r="AB246" s="254"/>
      <c r="AC246" s="254"/>
      <c r="AD246" s="254"/>
    </row>
    <row r="247">
      <c r="A247" s="192"/>
      <c r="B247" s="494"/>
      <c r="C247" s="494"/>
      <c r="D247" s="192"/>
      <c r="E247" s="547" t="s">
        <v>129</v>
      </c>
      <c r="F247" s="369" t="s">
        <v>130</v>
      </c>
      <c r="G247" s="548">
        <v>10400.0</v>
      </c>
      <c r="H247" s="371">
        <f t="shared" si="29"/>
        <v>0.03328852186</v>
      </c>
      <c r="I247" s="543" t="s">
        <v>317</v>
      </c>
      <c r="J247" s="535"/>
      <c r="K247" s="254"/>
      <c r="L247" s="254"/>
      <c r="M247" s="254"/>
      <c r="N247" s="254"/>
      <c r="O247" s="254"/>
      <c r="P247" s="254"/>
      <c r="Q247" s="254"/>
      <c r="R247" s="254"/>
      <c r="S247" s="254"/>
      <c r="T247" s="254"/>
      <c r="U247" s="254"/>
      <c r="V247" s="254"/>
      <c r="W247" s="254"/>
      <c r="X247" s="254"/>
      <c r="Y247" s="254"/>
      <c r="Z247" s="254"/>
      <c r="AA247" s="254"/>
      <c r="AB247" s="254"/>
      <c r="AC247" s="254"/>
      <c r="AD247" s="254"/>
    </row>
    <row r="248">
      <c r="A248" s="192"/>
      <c r="B248" s="494"/>
      <c r="C248" s="494"/>
      <c r="D248" s="192"/>
      <c r="E248" s="547" t="s">
        <v>167</v>
      </c>
      <c r="F248" s="391" t="s">
        <v>168</v>
      </c>
      <c r="G248" s="555">
        <v>5000.0</v>
      </c>
      <c r="H248" s="371">
        <f t="shared" si="29"/>
        <v>0.01600409705</v>
      </c>
      <c r="I248" s="543" t="s">
        <v>318</v>
      </c>
      <c r="J248" s="535"/>
      <c r="K248" s="254"/>
      <c r="L248" s="254"/>
      <c r="M248" s="254"/>
      <c r="N248" s="254"/>
      <c r="O248" s="254"/>
      <c r="P248" s="254"/>
      <c r="Q248" s="254"/>
      <c r="R248" s="254"/>
      <c r="S248" s="254"/>
      <c r="T248" s="254"/>
      <c r="U248" s="254"/>
      <c r="V248" s="254"/>
      <c r="W248" s="254"/>
      <c r="X248" s="254"/>
      <c r="Y248" s="254"/>
      <c r="Z248" s="254"/>
      <c r="AA248" s="254"/>
      <c r="AB248" s="254"/>
      <c r="AC248" s="254"/>
      <c r="AD248" s="254"/>
    </row>
    <row r="249">
      <c r="A249" s="192"/>
      <c r="B249" s="494"/>
      <c r="C249" s="494"/>
      <c r="D249" s="192"/>
      <c r="E249" s="547" t="s">
        <v>140</v>
      </c>
      <c r="F249" s="391" t="s">
        <v>141</v>
      </c>
      <c r="G249" s="556">
        <v>4900.0</v>
      </c>
      <c r="H249" s="371">
        <f t="shared" si="29"/>
        <v>0.01568401511</v>
      </c>
      <c r="I249" s="543" t="s">
        <v>319</v>
      </c>
      <c r="J249" s="535"/>
      <c r="K249" s="254"/>
      <c r="L249" s="254"/>
      <c r="M249" s="254"/>
      <c r="N249" s="254"/>
      <c r="O249" s="254"/>
      <c r="P249" s="254"/>
      <c r="Q249" s="254"/>
      <c r="R249" s="254"/>
      <c r="S249" s="254"/>
      <c r="T249" s="254"/>
      <c r="U249" s="254"/>
      <c r="V249" s="254"/>
      <c r="W249" s="254"/>
      <c r="X249" s="254"/>
      <c r="Y249" s="254"/>
      <c r="Z249" s="254"/>
      <c r="AA249" s="254"/>
      <c r="AB249" s="254"/>
      <c r="AC249" s="254"/>
      <c r="AD249" s="254"/>
    </row>
    <row r="250">
      <c r="A250" s="192"/>
      <c r="B250" s="494"/>
      <c r="C250" s="494"/>
      <c r="D250" s="192"/>
      <c r="E250" s="547" t="s">
        <v>320</v>
      </c>
      <c r="F250" s="391" t="s">
        <v>321</v>
      </c>
      <c r="G250" s="556">
        <v>11000.0</v>
      </c>
      <c r="H250" s="371">
        <f t="shared" si="29"/>
        <v>0.03520901351</v>
      </c>
      <c r="I250" s="543" t="s">
        <v>322</v>
      </c>
      <c r="J250" s="535"/>
      <c r="K250" s="254"/>
      <c r="L250" s="254"/>
      <c r="M250" s="254"/>
      <c r="N250" s="254"/>
      <c r="O250" s="254"/>
      <c r="P250" s="254"/>
      <c r="Q250" s="254"/>
      <c r="R250" s="254"/>
      <c r="S250" s="254"/>
      <c r="T250" s="254"/>
      <c r="U250" s="254"/>
      <c r="V250" s="254"/>
      <c r="W250" s="254"/>
      <c r="X250" s="254"/>
      <c r="Y250" s="254"/>
      <c r="Z250" s="254"/>
      <c r="AA250" s="254"/>
      <c r="AB250" s="254"/>
      <c r="AC250" s="254"/>
      <c r="AD250" s="254"/>
    </row>
    <row r="251">
      <c r="A251" s="192"/>
      <c r="B251" s="494"/>
      <c r="C251" s="494"/>
      <c r="D251" s="192"/>
      <c r="E251" s="189" t="s">
        <v>323</v>
      </c>
      <c r="F251" s="279" t="s">
        <v>324</v>
      </c>
      <c r="G251" s="556">
        <v>2000.0</v>
      </c>
      <c r="H251" s="371">
        <f t="shared" si="29"/>
        <v>0.00640163882</v>
      </c>
      <c r="I251" s="543" t="s">
        <v>325</v>
      </c>
      <c r="J251" s="475"/>
      <c r="K251" s="276"/>
      <c r="L251" s="276"/>
      <c r="M251" s="276"/>
      <c r="N251" s="276"/>
      <c r="O251" s="276"/>
      <c r="P251" s="276"/>
      <c r="Q251" s="276"/>
      <c r="R251" s="276"/>
      <c r="S251" s="276"/>
      <c r="T251" s="276"/>
      <c r="U251" s="276"/>
      <c r="V251" s="276"/>
      <c r="W251" s="276"/>
      <c r="X251" s="276"/>
      <c r="Y251" s="276"/>
      <c r="Z251" s="276"/>
      <c r="AA251" s="276"/>
      <c r="AB251" s="276"/>
      <c r="AC251" s="276"/>
      <c r="AD251" s="276"/>
    </row>
    <row r="252">
      <c r="A252" s="192"/>
      <c r="B252" s="494"/>
      <c r="C252" s="494"/>
      <c r="D252" s="192"/>
      <c r="E252" s="189" t="s">
        <v>326</v>
      </c>
      <c r="F252" s="279" t="s">
        <v>327</v>
      </c>
      <c r="G252" s="556">
        <v>44000.0</v>
      </c>
      <c r="H252" s="371">
        <f t="shared" si="29"/>
        <v>0.140836054</v>
      </c>
      <c r="I252" s="543" t="s">
        <v>328</v>
      </c>
      <c r="J252" s="475"/>
      <c r="K252" s="276"/>
      <c r="L252" s="276"/>
      <c r="M252" s="276"/>
      <c r="N252" s="276"/>
      <c r="O252" s="276"/>
      <c r="P252" s="276"/>
      <c r="Q252" s="276"/>
      <c r="R252" s="276"/>
      <c r="S252" s="276"/>
      <c r="T252" s="276"/>
      <c r="U252" s="276"/>
      <c r="V252" s="276"/>
      <c r="W252" s="276"/>
      <c r="X252" s="276"/>
      <c r="Y252" s="276"/>
      <c r="Z252" s="276"/>
      <c r="AA252" s="276"/>
      <c r="AB252" s="276"/>
      <c r="AC252" s="276"/>
      <c r="AD252" s="276"/>
    </row>
    <row r="253">
      <c r="A253" s="192"/>
      <c r="B253" s="494"/>
      <c r="C253" s="494"/>
      <c r="D253" s="557"/>
      <c r="E253" s="558" t="s">
        <v>135</v>
      </c>
      <c r="F253" s="559" t="s">
        <v>136</v>
      </c>
      <c r="G253" s="556">
        <v>500.0</v>
      </c>
      <c r="H253" s="371">
        <f t="shared" si="29"/>
        <v>0.001600409705</v>
      </c>
      <c r="I253" s="560" t="s">
        <v>329</v>
      </c>
      <c r="J253" s="535"/>
      <c r="K253" s="254"/>
      <c r="L253" s="254"/>
      <c r="M253" s="254"/>
      <c r="N253" s="254"/>
      <c r="O253" s="254"/>
      <c r="P253" s="254"/>
      <c r="Q253" s="254"/>
      <c r="R253" s="254"/>
      <c r="S253" s="254"/>
      <c r="T253" s="254"/>
      <c r="U253" s="254"/>
      <c r="V253" s="254"/>
      <c r="W253" s="254"/>
      <c r="X253" s="254"/>
      <c r="Y253" s="254"/>
      <c r="Z253" s="254"/>
      <c r="AA253" s="254"/>
      <c r="AB253" s="254"/>
      <c r="AC253" s="254"/>
      <c r="AD253" s="254"/>
    </row>
    <row r="254">
      <c r="A254" s="347"/>
      <c r="B254" s="394"/>
      <c r="C254" s="394" t="s">
        <v>59</v>
      </c>
      <c r="D254" s="394" t="s">
        <v>59</v>
      </c>
      <c r="E254" s="395"/>
      <c r="F254" s="411" t="s">
        <v>60</v>
      </c>
      <c r="G254" s="422">
        <f>Round((G226+G239)/95*5,0)</f>
        <v>18812</v>
      </c>
      <c r="H254" s="365">
        <f>G254/$G$225</f>
        <v>0.05000106317</v>
      </c>
      <c r="I254" s="396" t="s">
        <v>164</v>
      </c>
      <c r="J254" s="423"/>
      <c r="K254" s="424"/>
      <c r="L254" s="424"/>
      <c r="M254" s="424"/>
      <c r="N254" s="424"/>
      <c r="O254" s="424"/>
      <c r="P254" s="424"/>
      <c r="Q254" s="424"/>
      <c r="R254" s="424"/>
      <c r="S254" s="424"/>
      <c r="T254" s="424"/>
      <c r="U254" s="424"/>
      <c r="V254" s="424"/>
      <c r="W254" s="424"/>
      <c r="X254" s="424"/>
      <c r="Y254" s="424"/>
      <c r="Z254" s="424"/>
      <c r="AA254" s="424"/>
      <c r="AB254" s="424"/>
      <c r="AC254" s="424"/>
      <c r="AD254" s="424"/>
    </row>
    <row r="255">
      <c r="A255" s="347"/>
      <c r="B255" s="323"/>
      <c r="C255" s="323"/>
      <c r="D255" s="323"/>
      <c r="E255" s="223"/>
      <c r="F255" s="348"/>
      <c r="G255" s="434"/>
      <c r="H255" s="336"/>
      <c r="I255" s="348"/>
      <c r="J255" s="337"/>
      <c r="K255" s="233"/>
      <c r="L255" s="233"/>
      <c r="M255" s="233"/>
      <c r="N255" s="233"/>
      <c r="O255" s="233"/>
      <c r="P255" s="233"/>
      <c r="Q255" s="233"/>
      <c r="R255" s="233"/>
      <c r="S255" s="233"/>
      <c r="T255" s="233"/>
      <c r="U255" s="233"/>
      <c r="V255" s="233"/>
      <c r="W255" s="233"/>
      <c r="X255" s="233"/>
      <c r="Y255" s="233"/>
      <c r="Z255" s="233"/>
      <c r="AA255" s="233"/>
      <c r="AB255" s="233"/>
      <c r="AC255" s="233"/>
      <c r="AD255" s="233"/>
    </row>
    <row r="256">
      <c r="A256" s="347"/>
      <c r="B256" s="323"/>
      <c r="C256" s="323"/>
      <c r="D256" s="323"/>
      <c r="E256" s="223"/>
      <c r="F256" s="348"/>
      <c r="G256" s="434"/>
      <c r="H256" s="336"/>
      <c r="I256" s="336"/>
      <c r="J256" s="337"/>
      <c r="K256" s="233"/>
      <c r="L256" s="233"/>
      <c r="M256" s="233"/>
      <c r="N256" s="233"/>
      <c r="O256" s="233"/>
      <c r="P256" s="233"/>
      <c r="Q256" s="233"/>
      <c r="R256" s="233"/>
      <c r="S256" s="233"/>
      <c r="T256" s="233"/>
      <c r="U256" s="233"/>
      <c r="V256" s="233"/>
      <c r="W256" s="233"/>
      <c r="X256" s="233"/>
      <c r="Y256" s="233"/>
      <c r="Z256" s="233"/>
      <c r="AA256" s="233"/>
      <c r="AB256" s="233"/>
      <c r="AC256" s="233"/>
      <c r="AD256" s="233"/>
    </row>
    <row r="257">
      <c r="A257" s="350"/>
      <c r="B257" s="351" t="s">
        <v>59</v>
      </c>
      <c r="C257" s="351" t="s">
        <v>47</v>
      </c>
      <c r="D257" s="351" t="s">
        <v>47</v>
      </c>
      <c r="E257" s="352"/>
      <c r="F257" s="353" t="s">
        <v>25</v>
      </c>
      <c r="G257" s="421">
        <f>G258+G265+G273+G296</f>
        <v>104705</v>
      </c>
      <c r="H257" s="355">
        <f>G257/$G$8</f>
        <v>0.08844111234</v>
      </c>
      <c r="I257" s="353"/>
      <c r="J257" s="357"/>
      <c r="K257" s="358"/>
      <c r="L257" s="358"/>
      <c r="M257" s="358"/>
      <c r="N257" s="358"/>
      <c r="O257" s="358"/>
      <c r="P257" s="358"/>
      <c r="Q257" s="358"/>
      <c r="R257" s="358"/>
      <c r="S257" s="358"/>
      <c r="T257" s="358"/>
      <c r="U257" s="358"/>
      <c r="V257" s="358"/>
      <c r="W257" s="358"/>
      <c r="X257" s="358"/>
      <c r="Y257" s="358"/>
      <c r="Z257" s="358"/>
      <c r="AA257" s="358"/>
      <c r="AB257" s="358"/>
      <c r="AC257" s="358"/>
      <c r="AD257" s="358"/>
    </row>
    <row r="258">
      <c r="A258" s="347"/>
      <c r="B258" s="394"/>
      <c r="C258" s="394" t="s">
        <v>47</v>
      </c>
      <c r="D258" s="394" t="s">
        <v>46</v>
      </c>
      <c r="E258" s="395"/>
      <c r="F258" s="396" t="s">
        <v>48</v>
      </c>
      <c r="G258" s="422">
        <f>SUM(G259:G264)</f>
        <v>44870</v>
      </c>
      <c r="H258" s="365">
        <f>G258/$G$257</f>
        <v>0.4285373191</v>
      </c>
      <c r="I258" s="366"/>
      <c r="J258" s="423"/>
      <c r="K258" s="424"/>
      <c r="L258" s="424"/>
      <c r="M258" s="424"/>
      <c r="N258" s="424"/>
      <c r="O258" s="424"/>
      <c r="P258" s="424"/>
      <c r="Q258" s="424"/>
      <c r="R258" s="424"/>
      <c r="S258" s="424"/>
      <c r="T258" s="424"/>
      <c r="U258" s="424"/>
      <c r="V258" s="424"/>
      <c r="W258" s="424"/>
      <c r="X258" s="424"/>
      <c r="Y258" s="424"/>
      <c r="Z258" s="424"/>
      <c r="AA258" s="424"/>
      <c r="AB258" s="424"/>
      <c r="AC258" s="424"/>
      <c r="AD258" s="424"/>
    </row>
    <row r="259">
      <c r="A259" s="347"/>
      <c r="B259" s="323"/>
      <c r="C259" s="323"/>
      <c r="D259" s="323"/>
      <c r="E259" s="223" t="s">
        <v>123</v>
      </c>
      <c r="F259" s="348" t="s">
        <v>124</v>
      </c>
      <c r="G259" s="378">
        <v>31920.0</v>
      </c>
      <c r="H259" s="371">
        <f>G259/$G$258</f>
        <v>0.7113884555</v>
      </c>
      <c r="I259" s="543" t="s">
        <v>330</v>
      </c>
      <c r="J259" s="425"/>
      <c r="K259" s="426"/>
      <c r="L259" s="426"/>
      <c r="M259" s="426"/>
      <c r="N259" s="426"/>
      <c r="O259" s="426"/>
      <c r="P259" s="426"/>
      <c r="Q259" s="426"/>
      <c r="R259" s="426"/>
      <c r="S259" s="426"/>
      <c r="T259" s="426"/>
      <c r="U259" s="426"/>
      <c r="V259" s="426"/>
      <c r="W259" s="426"/>
      <c r="X259" s="426"/>
      <c r="Y259" s="426"/>
      <c r="Z259" s="426"/>
      <c r="AA259" s="426"/>
      <c r="AB259" s="426"/>
      <c r="AC259" s="426"/>
      <c r="AD259" s="426"/>
    </row>
    <row r="260">
      <c r="A260" s="347"/>
      <c r="B260" s="323"/>
      <c r="C260" s="323"/>
      <c r="D260" s="323"/>
      <c r="E260" s="223"/>
      <c r="F260" s="348"/>
      <c r="G260" s="434"/>
      <c r="H260" s="371"/>
      <c r="I260" s="561" t="s">
        <v>331</v>
      </c>
      <c r="J260" s="337"/>
      <c r="K260" s="233"/>
      <c r="L260" s="233"/>
      <c r="M260" s="233"/>
      <c r="N260" s="233"/>
      <c r="O260" s="233"/>
      <c r="P260" s="233"/>
      <c r="Q260" s="233"/>
      <c r="R260" s="233"/>
      <c r="S260" s="233"/>
      <c r="T260" s="233"/>
      <c r="U260" s="233"/>
      <c r="V260" s="233"/>
      <c r="W260" s="233"/>
      <c r="X260" s="233"/>
      <c r="Y260" s="233"/>
      <c r="Z260" s="233"/>
      <c r="AA260" s="233"/>
      <c r="AB260" s="233"/>
      <c r="AC260" s="233"/>
      <c r="AD260" s="233"/>
    </row>
    <row r="261">
      <c r="A261" s="347"/>
      <c r="B261" s="323"/>
      <c r="C261" s="323"/>
      <c r="D261" s="323"/>
      <c r="E261" s="223" t="s">
        <v>188</v>
      </c>
      <c r="F261" s="348" t="s">
        <v>189</v>
      </c>
      <c r="G261" s="378">
        <v>4800.0</v>
      </c>
      <c r="H261" s="371">
        <f>G261/$G$258</f>
        <v>0.1069757076</v>
      </c>
      <c r="I261" s="474" t="s">
        <v>332</v>
      </c>
      <c r="J261" s="337"/>
      <c r="K261" s="233"/>
      <c r="L261" s="233"/>
      <c r="M261" s="233"/>
      <c r="N261" s="233"/>
      <c r="O261" s="233"/>
      <c r="P261" s="233"/>
      <c r="Q261" s="233"/>
      <c r="R261" s="233"/>
      <c r="S261" s="233"/>
      <c r="T261" s="233"/>
      <c r="U261" s="233"/>
      <c r="V261" s="233"/>
      <c r="W261" s="233"/>
      <c r="X261" s="233"/>
      <c r="Y261" s="233"/>
      <c r="Z261" s="233"/>
      <c r="AA261" s="233"/>
      <c r="AB261" s="233"/>
      <c r="AC261" s="233"/>
      <c r="AD261" s="233"/>
    </row>
    <row r="262">
      <c r="A262" s="347"/>
      <c r="B262" s="323"/>
      <c r="C262" s="323"/>
      <c r="D262" s="323"/>
      <c r="E262" s="223"/>
      <c r="F262" s="348"/>
      <c r="G262" s="434"/>
      <c r="H262" s="336"/>
      <c r="I262" s="474" t="s">
        <v>333</v>
      </c>
      <c r="J262" s="337"/>
      <c r="K262" s="233"/>
      <c r="L262" s="233"/>
      <c r="M262" s="233"/>
      <c r="N262" s="233"/>
      <c r="O262" s="233"/>
      <c r="P262" s="233"/>
      <c r="Q262" s="233"/>
      <c r="R262" s="233"/>
      <c r="S262" s="233"/>
      <c r="T262" s="233"/>
      <c r="U262" s="233"/>
      <c r="V262" s="233"/>
      <c r="W262" s="233"/>
      <c r="X262" s="233"/>
      <c r="Y262" s="233"/>
      <c r="Z262" s="233"/>
      <c r="AA262" s="233"/>
      <c r="AB262" s="233"/>
      <c r="AC262" s="233"/>
      <c r="AD262" s="233"/>
    </row>
    <row r="263">
      <c r="A263" s="347"/>
      <c r="B263" s="323"/>
      <c r="C263" s="323"/>
      <c r="D263" s="323"/>
      <c r="E263" s="223" t="s">
        <v>126</v>
      </c>
      <c r="F263" s="348" t="s">
        <v>127</v>
      </c>
      <c r="G263" s="378">
        <v>5000.0</v>
      </c>
      <c r="H263" s="371">
        <f t="shared" ref="H263:H264" si="30">G263/$G$258</f>
        <v>0.1114330287</v>
      </c>
      <c r="I263" s="543" t="s">
        <v>334</v>
      </c>
      <c r="J263" s="337"/>
      <c r="K263" s="233"/>
      <c r="L263" s="233"/>
      <c r="M263" s="233"/>
      <c r="N263" s="233"/>
      <c r="O263" s="233"/>
      <c r="P263" s="233"/>
      <c r="Q263" s="233"/>
      <c r="R263" s="233"/>
      <c r="S263" s="233"/>
      <c r="T263" s="233"/>
      <c r="U263" s="233"/>
      <c r="V263" s="233"/>
      <c r="W263" s="233"/>
      <c r="X263" s="233"/>
      <c r="Y263" s="233"/>
      <c r="Z263" s="233"/>
      <c r="AA263" s="233"/>
      <c r="AB263" s="233"/>
      <c r="AC263" s="233"/>
      <c r="AD263" s="233"/>
    </row>
    <row r="264">
      <c r="A264" s="347"/>
      <c r="B264" s="323"/>
      <c r="C264" s="323"/>
      <c r="D264" s="323"/>
      <c r="E264" s="223" t="s">
        <v>150</v>
      </c>
      <c r="F264" s="348" t="s">
        <v>151</v>
      </c>
      <c r="G264" s="378">
        <f>75*2*21</f>
        <v>3150</v>
      </c>
      <c r="H264" s="371">
        <f t="shared" si="30"/>
        <v>0.07020280811</v>
      </c>
      <c r="I264" s="543" t="s">
        <v>335</v>
      </c>
      <c r="J264" s="337"/>
      <c r="K264" s="233"/>
      <c r="L264" s="233"/>
      <c r="M264" s="233"/>
      <c r="N264" s="233"/>
      <c r="O264" s="233"/>
      <c r="P264" s="233"/>
      <c r="Q264" s="233"/>
      <c r="R264" s="233"/>
      <c r="S264" s="233"/>
      <c r="T264" s="233"/>
      <c r="U264" s="233"/>
      <c r="V264" s="233"/>
      <c r="W264" s="233"/>
      <c r="X264" s="233"/>
      <c r="Y264" s="233"/>
      <c r="Z264" s="233"/>
      <c r="AA264" s="233"/>
      <c r="AB264" s="233"/>
      <c r="AC264" s="233"/>
      <c r="AD264" s="233"/>
    </row>
    <row r="265">
      <c r="A265" s="347"/>
      <c r="B265" s="394"/>
      <c r="C265" s="394" t="s">
        <v>46</v>
      </c>
      <c r="D265" s="394" t="s">
        <v>47</v>
      </c>
      <c r="E265" s="395"/>
      <c r="F265" s="396" t="s">
        <v>86</v>
      </c>
      <c r="G265" s="422">
        <f>G266</f>
        <v>26200</v>
      </c>
      <c r="H265" s="365">
        <f>G265/$G$257</f>
        <v>0.2502268278</v>
      </c>
      <c r="I265" s="530"/>
      <c r="J265" s="423"/>
      <c r="K265" s="424"/>
      <c r="L265" s="424"/>
      <c r="M265" s="424"/>
      <c r="N265" s="424"/>
      <c r="O265" s="424"/>
      <c r="P265" s="424"/>
      <c r="Q265" s="424"/>
      <c r="R265" s="424"/>
      <c r="S265" s="424"/>
      <c r="T265" s="424"/>
      <c r="U265" s="424"/>
      <c r="V265" s="424"/>
      <c r="W265" s="424"/>
      <c r="X265" s="424"/>
      <c r="Y265" s="424"/>
      <c r="Z265" s="424"/>
      <c r="AA265" s="424"/>
      <c r="AB265" s="424"/>
      <c r="AC265" s="424"/>
      <c r="AD265" s="424"/>
    </row>
    <row r="266">
      <c r="A266" s="347"/>
      <c r="B266" s="461"/>
      <c r="C266" s="461"/>
      <c r="D266" s="461" t="s">
        <v>46</v>
      </c>
      <c r="E266" s="462"/>
      <c r="F266" s="562" t="s">
        <v>336</v>
      </c>
      <c r="G266" s="563">
        <f>SUM(G267:G272)</f>
        <v>26200</v>
      </c>
      <c r="H266" s="470">
        <f>G266/$G$265</f>
        <v>1</v>
      </c>
      <c r="I266" s="564"/>
      <c r="J266" s="565"/>
      <c r="K266" s="466"/>
      <c r="L266" s="466"/>
      <c r="M266" s="466"/>
      <c r="N266" s="466"/>
      <c r="O266" s="466"/>
      <c r="P266" s="466"/>
      <c r="Q266" s="466"/>
      <c r="R266" s="466"/>
      <c r="S266" s="466"/>
      <c r="T266" s="466"/>
      <c r="U266" s="466"/>
      <c r="V266" s="466"/>
      <c r="W266" s="466"/>
      <c r="X266" s="466"/>
      <c r="Y266" s="466"/>
      <c r="Z266" s="466"/>
      <c r="AA266" s="466"/>
      <c r="AB266" s="466"/>
      <c r="AC266" s="466"/>
      <c r="AD266" s="466"/>
    </row>
    <row r="267">
      <c r="A267" s="347"/>
      <c r="B267" s="323"/>
      <c r="C267" s="323"/>
      <c r="D267" s="323"/>
      <c r="E267" s="189" t="s">
        <v>148</v>
      </c>
      <c r="F267" s="400" t="s">
        <v>122</v>
      </c>
      <c r="G267" s="548">
        <v>4500.0</v>
      </c>
      <c r="H267" s="371">
        <f t="shared" ref="H267:H272" si="31">G267/$G$266</f>
        <v>0.1717557252</v>
      </c>
      <c r="I267" s="566" t="s">
        <v>337</v>
      </c>
      <c r="J267" s="337"/>
      <c r="K267" s="233"/>
      <c r="L267" s="233"/>
      <c r="M267" s="233"/>
      <c r="N267" s="233"/>
      <c r="O267" s="233"/>
      <c r="P267" s="233"/>
      <c r="Q267" s="233"/>
      <c r="R267" s="233"/>
      <c r="S267" s="233"/>
      <c r="T267" s="233"/>
      <c r="U267" s="233"/>
      <c r="V267" s="233"/>
      <c r="W267" s="233"/>
      <c r="X267" s="233"/>
      <c r="Y267" s="233"/>
      <c r="Z267" s="233"/>
      <c r="AA267" s="233"/>
      <c r="AB267" s="233"/>
      <c r="AC267" s="233"/>
      <c r="AD267" s="233"/>
    </row>
    <row r="268">
      <c r="A268" s="347"/>
      <c r="B268" s="323"/>
      <c r="C268" s="323"/>
      <c r="D268" s="323"/>
      <c r="E268" s="189" t="s">
        <v>129</v>
      </c>
      <c r="F268" s="400" t="s">
        <v>130</v>
      </c>
      <c r="G268" s="542">
        <v>10000.0</v>
      </c>
      <c r="H268" s="371">
        <f t="shared" si="31"/>
        <v>0.3816793893</v>
      </c>
      <c r="I268" s="532" t="s">
        <v>338</v>
      </c>
      <c r="J268" s="337"/>
      <c r="K268" s="233"/>
      <c r="L268" s="233"/>
      <c r="M268" s="233"/>
      <c r="N268" s="233"/>
      <c r="O268" s="233"/>
      <c r="P268" s="233"/>
      <c r="Q268" s="233"/>
      <c r="R268" s="233"/>
      <c r="S268" s="233"/>
      <c r="T268" s="233"/>
      <c r="U268" s="233"/>
      <c r="V268" s="233"/>
      <c r="W268" s="233"/>
      <c r="X268" s="233"/>
      <c r="Y268" s="233"/>
      <c r="Z268" s="233"/>
      <c r="AA268" s="233"/>
      <c r="AB268" s="233"/>
      <c r="AC268" s="233"/>
      <c r="AD268" s="233"/>
    </row>
    <row r="269">
      <c r="A269" s="347"/>
      <c r="B269" s="323"/>
      <c r="C269" s="323"/>
      <c r="D269" s="323"/>
      <c r="E269" s="189" t="s">
        <v>132</v>
      </c>
      <c r="F269" s="400" t="s">
        <v>133</v>
      </c>
      <c r="G269" s="548">
        <v>3700.0</v>
      </c>
      <c r="H269" s="371">
        <f t="shared" si="31"/>
        <v>0.141221374</v>
      </c>
      <c r="I269" s="543" t="s">
        <v>339</v>
      </c>
      <c r="J269" s="337"/>
      <c r="K269" s="233"/>
      <c r="L269" s="233"/>
      <c r="M269" s="233"/>
      <c r="N269" s="233"/>
      <c r="O269" s="233"/>
      <c r="P269" s="233"/>
      <c r="Q269" s="233"/>
      <c r="R269" s="233"/>
      <c r="S269" s="233"/>
      <c r="T269" s="233"/>
      <c r="U269" s="233"/>
      <c r="V269" s="233"/>
      <c r="W269" s="233"/>
      <c r="X269" s="233"/>
      <c r="Y269" s="233"/>
      <c r="Z269" s="233"/>
      <c r="AA269" s="233"/>
      <c r="AB269" s="233"/>
      <c r="AC269" s="233"/>
      <c r="AD269" s="233"/>
    </row>
    <row r="270">
      <c r="A270" s="347"/>
      <c r="B270" s="323"/>
      <c r="C270" s="323"/>
      <c r="D270" s="323"/>
      <c r="E270" s="189" t="s">
        <v>140</v>
      </c>
      <c r="F270" s="400" t="s">
        <v>141</v>
      </c>
      <c r="G270" s="548">
        <v>1500.0</v>
      </c>
      <c r="H270" s="371">
        <f t="shared" si="31"/>
        <v>0.0572519084</v>
      </c>
      <c r="I270" s="543" t="s">
        <v>340</v>
      </c>
      <c r="J270" s="495"/>
      <c r="K270" s="233"/>
      <c r="L270" s="233"/>
      <c r="M270" s="233"/>
      <c r="N270" s="233"/>
      <c r="O270" s="233"/>
      <c r="P270" s="233"/>
      <c r="Q270" s="233"/>
      <c r="R270" s="233"/>
      <c r="S270" s="233"/>
      <c r="T270" s="233"/>
      <c r="U270" s="233"/>
      <c r="V270" s="233"/>
      <c r="W270" s="233"/>
      <c r="X270" s="233"/>
      <c r="Y270" s="233"/>
      <c r="Z270" s="233"/>
      <c r="AA270" s="233"/>
      <c r="AB270" s="233"/>
      <c r="AC270" s="233"/>
      <c r="AD270" s="233"/>
    </row>
    <row r="271">
      <c r="A271" s="347"/>
      <c r="B271" s="323"/>
      <c r="C271" s="323"/>
      <c r="D271" s="323"/>
      <c r="E271" s="189" t="s">
        <v>255</v>
      </c>
      <c r="F271" s="400" t="s">
        <v>256</v>
      </c>
      <c r="G271" s="542">
        <v>6000.0</v>
      </c>
      <c r="H271" s="371">
        <f t="shared" si="31"/>
        <v>0.2290076336</v>
      </c>
      <c r="I271" s="543" t="s">
        <v>341</v>
      </c>
      <c r="J271" s="337"/>
      <c r="K271" s="233"/>
      <c r="L271" s="233"/>
      <c r="M271" s="233"/>
      <c r="N271" s="233"/>
      <c r="O271" s="233"/>
      <c r="P271" s="233"/>
      <c r="Q271" s="233"/>
      <c r="R271" s="233"/>
      <c r="S271" s="233"/>
      <c r="T271" s="233"/>
      <c r="U271" s="233"/>
      <c r="V271" s="233"/>
      <c r="W271" s="233"/>
      <c r="X271" s="233"/>
      <c r="Y271" s="233"/>
      <c r="Z271" s="233"/>
      <c r="AA271" s="233"/>
      <c r="AB271" s="233"/>
      <c r="AC271" s="233"/>
      <c r="AD271" s="233"/>
    </row>
    <row r="272">
      <c r="A272" s="347"/>
      <c r="B272" s="323"/>
      <c r="C272" s="323"/>
      <c r="D272" s="323"/>
      <c r="E272" s="189" t="s">
        <v>135</v>
      </c>
      <c r="F272" s="400" t="s">
        <v>136</v>
      </c>
      <c r="G272" s="542">
        <v>500.0</v>
      </c>
      <c r="H272" s="567">
        <f t="shared" si="31"/>
        <v>0.01908396947</v>
      </c>
      <c r="I272" s="543" t="s">
        <v>342</v>
      </c>
      <c r="J272" s="233"/>
      <c r="K272" s="233"/>
      <c r="L272" s="233"/>
      <c r="M272" s="233"/>
      <c r="N272" s="233"/>
      <c r="O272" s="233"/>
      <c r="P272" s="233"/>
      <c r="Q272" s="233"/>
      <c r="R272" s="233"/>
      <c r="S272" s="233"/>
      <c r="T272" s="233"/>
      <c r="U272" s="233"/>
      <c r="V272" s="233"/>
      <c r="W272" s="233"/>
      <c r="X272" s="233"/>
      <c r="Y272" s="233"/>
      <c r="Z272" s="233"/>
      <c r="AA272" s="233"/>
      <c r="AB272" s="233"/>
      <c r="AC272" s="233"/>
      <c r="AD272" s="233"/>
    </row>
    <row r="273">
      <c r="A273" s="192"/>
      <c r="B273" s="521"/>
      <c r="C273" s="568" t="s">
        <v>49</v>
      </c>
      <c r="D273" s="523" t="s">
        <v>47</v>
      </c>
      <c r="E273" s="523"/>
      <c r="F273" s="569" t="s">
        <v>88</v>
      </c>
      <c r="G273" s="551">
        <f>G274+G281+G289</f>
        <v>28400</v>
      </c>
      <c r="H273" s="570">
        <f>G273/$G$257</f>
        <v>0.2712382408</v>
      </c>
      <c r="I273" s="571"/>
      <c r="J273" s="552"/>
      <c r="K273" s="552"/>
      <c r="L273" s="552"/>
      <c r="M273" s="552"/>
      <c r="N273" s="552"/>
      <c r="O273" s="552"/>
      <c r="P273" s="552"/>
      <c r="Q273" s="552"/>
      <c r="R273" s="552"/>
      <c r="S273" s="552"/>
      <c r="T273" s="552"/>
      <c r="U273" s="552"/>
      <c r="V273" s="552"/>
      <c r="W273" s="552"/>
      <c r="X273" s="552"/>
      <c r="Y273" s="552"/>
      <c r="Z273" s="552"/>
      <c r="AA273" s="552"/>
      <c r="AB273" s="552"/>
      <c r="AC273" s="552"/>
      <c r="AD273" s="552"/>
    </row>
    <row r="274">
      <c r="A274" s="192"/>
      <c r="B274" s="486"/>
      <c r="C274" s="572"/>
      <c r="D274" s="509" t="s">
        <v>46</v>
      </c>
      <c r="E274" s="488"/>
      <c r="F274" s="483" t="s">
        <v>89</v>
      </c>
      <c r="G274" s="573">
        <f>SUM(G275:G280)</f>
        <v>7500</v>
      </c>
      <c r="H274" s="574">
        <f>G274/$G$273</f>
        <v>0.264084507</v>
      </c>
      <c r="I274" s="499"/>
      <c r="J274" s="508"/>
      <c r="K274" s="508"/>
      <c r="L274" s="508"/>
      <c r="M274" s="508"/>
      <c r="N274" s="508"/>
      <c r="O274" s="508"/>
      <c r="P274" s="508"/>
      <c r="Q274" s="508"/>
      <c r="R274" s="508"/>
      <c r="S274" s="508"/>
      <c r="T274" s="508"/>
      <c r="U274" s="508"/>
      <c r="V274" s="508"/>
      <c r="W274" s="508"/>
      <c r="X274" s="508"/>
      <c r="Y274" s="508"/>
      <c r="Z274" s="508"/>
      <c r="AA274" s="508"/>
      <c r="AB274" s="508"/>
      <c r="AC274" s="508"/>
      <c r="AD274" s="508"/>
    </row>
    <row r="275">
      <c r="A275" s="192"/>
      <c r="B275" s="494"/>
      <c r="C275" s="494"/>
      <c r="D275" s="192"/>
      <c r="E275" s="476" t="s">
        <v>188</v>
      </c>
      <c r="F275" s="400" t="s">
        <v>189</v>
      </c>
      <c r="G275" s="548">
        <v>600.0</v>
      </c>
      <c r="H275" s="502">
        <f t="shared" ref="H275:H280" si="32">G275/$G$274</f>
        <v>0.08</v>
      </c>
      <c r="I275" s="575" t="s">
        <v>343</v>
      </c>
      <c r="J275" s="475"/>
      <c r="K275" s="475"/>
      <c r="L275" s="475"/>
      <c r="M275" s="475"/>
      <c r="N275" s="475"/>
      <c r="O275" s="475"/>
      <c r="P275" s="475"/>
      <c r="Q275" s="475"/>
      <c r="R275" s="475"/>
      <c r="S275" s="475"/>
      <c r="T275" s="475"/>
      <c r="U275" s="475"/>
      <c r="V275" s="475"/>
      <c r="W275" s="475"/>
      <c r="X275" s="475"/>
      <c r="Y275" s="475"/>
      <c r="Z275" s="475"/>
      <c r="AA275" s="475"/>
      <c r="AB275" s="475"/>
      <c r="AC275" s="475"/>
      <c r="AD275" s="475"/>
    </row>
    <row r="276">
      <c r="A276" s="192"/>
      <c r="B276" s="494"/>
      <c r="C276" s="494"/>
      <c r="D276" s="192"/>
      <c r="E276" s="476" t="s">
        <v>129</v>
      </c>
      <c r="F276" s="400" t="s">
        <v>130</v>
      </c>
      <c r="G276" s="542">
        <v>5000.0</v>
      </c>
      <c r="H276" s="502">
        <f t="shared" si="32"/>
        <v>0.6666666667</v>
      </c>
      <c r="I276" s="566" t="s">
        <v>344</v>
      </c>
      <c r="J276" s="475"/>
      <c r="K276" s="475"/>
      <c r="L276" s="475"/>
      <c r="M276" s="475"/>
      <c r="N276" s="475"/>
      <c r="O276" s="475"/>
      <c r="P276" s="475"/>
      <c r="Q276" s="475"/>
      <c r="R276" s="475"/>
      <c r="S276" s="475"/>
      <c r="T276" s="475"/>
      <c r="U276" s="475"/>
      <c r="V276" s="475"/>
      <c r="W276" s="475"/>
      <c r="X276" s="475"/>
      <c r="Y276" s="475"/>
      <c r="Z276" s="475"/>
      <c r="AA276" s="475"/>
      <c r="AB276" s="475"/>
      <c r="AC276" s="475"/>
      <c r="AD276" s="475"/>
    </row>
    <row r="277">
      <c r="A277" s="192"/>
      <c r="B277" s="494"/>
      <c r="C277" s="494"/>
      <c r="D277" s="192"/>
      <c r="E277" s="476" t="s">
        <v>167</v>
      </c>
      <c r="F277" s="400" t="s">
        <v>168</v>
      </c>
      <c r="G277" s="548">
        <v>500.0</v>
      </c>
      <c r="H277" s="502">
        <f t="shared" si="32"/>
        <v>0.06666666667</v>
      </c>
      <c r="I277" s="543" t="s">
        <v>345</v>
      </c>
      <c r="J277" s="475"/>
      <c r="K277" s="475"/>
      <c r="L277" s="475"/>
      <c r="M277" s="475"/>
      <c r="N277" s="475"/>
      <c r="O277" s="475"/>
      <c r="P277" s="475"/>
      <c r="Q277" s="475"/>
      <c r="R277" s="475"/>
      <c r="S277" s="475"/>
      <c r="T277" s="475"/>
      <c r="U277" s="475"/>
      <c r="V277" s="475"/>
      <c r="W277" s="475"/>
      <c r="X277" s="475"/>
      <c r="Y277" s="475"/>
      <c r="Z277" s="475"/>
      <c r="AA277" s="475"/>
      <c r="AB277" s="475"/>
      <c r="AC277" s="475"/>
      <c r="AD277" s="475"/>
    </row>
    <row r="278">
      <c r="A278" s="192"/>
      <c r="B278" s="494"/>
      <c r="C278" s="494"/>
      <c r="D278" s="192"/>
      <c r="E278" s="476" t="s">
        <v>132</v>
      </c>
      <c r="F278" s="400" t="s">
        <v>133</v>
      </c>
      <c r="G278" s="548">
        <v>200.0</v>
      </c>
      <c r="H278" s="502">
        <f t="shared" si="32"/>
        <v>0.02666666667</v>
      </c>
      <c r="I278" s="543" t="s">
        <v>346</v>
      </c>
      <c r="J278" s="475"/>
      <c r="K278" s="475"/>
      <c r="L278" s="475"/>
      <c r="M278" s="475"/>
      <c r="N278" s="475"/>
      <c r="O278" s="475"/>
      <c r="P278" s="475"/>
      <c r="Q278" s="475"/>
      <c r="R278" s="475"/>
      <c r="S278" s="475"/>
      <c r="T278" s="475"/>
      <c r="U278" s="475"/>
      <c r="V278" s="475"/>
      <c r="W278" s="475"/>
      <c r="X278" s="475"/>
      <c r="Y278" s="475"/>
      <c r="Z278" s="475"/>
      <c r="AA278" s="475"/>
      <c r="AB278" s="475"/>
      <c r="AC278" s="475"/>
      <c r="AD278" s="475"/>
    </row>
    <row r="279">
      <c r="A279" s="192"/>
      <c r="B279" s="494"/>
      <c r="C279" s="494"/>
      <c r="D279" s="192"/>
      <c r="E279" s="476" t="s">
        <v>140</v>
      </c>
      <c r="F279" s="400" t="s">
        <v>141</v>
      </c>
      <c r="G279" s="548">
        <v>700.0</v>
      </c>
      <c r="H279" s="502">
        <f t="shared" si="32"/>
        <v>0.09333333333</v>
      </c>
      <c r="I279" s="543" t="s">
        <v>347</v>
      </c>
      <c r="J279" s="475"/>
      <c r="K279" s="475"/>
      <c r="L279" s="475"/>
      <c r="M279" s="475"/>
      <c r="N279" s="475"/>
      <c r="O279" s="475"/>
      <c r="P279" s="475"/>
      <c r="Q279" s="475"/>
      <c r="R279" s="475"/>
      <c r="S279" s="475"/>
      <c r="T279" s="475"/>
      <c r="U279" s="475"/>
      <c r="V279" s="475"/>
      <c r="W279" s="475"/>
      <c r="X279" s="475"/>
      <c r="Y279" s="475"/>
      <c r="Z279" s="475"/>
      <c r="AA279" s="475"/>
      <c r="AB279" s="475"/>
      <c r="AC279" s="475"/>
      <c r="AD279" s="475"/>
    </row>
    <row r="280">
      <c r="A280" s="192"/>
      <c r="B280" s="494"/>
      <c r="C280" s="494"/>
      <c r="D280" s="405"/>
      <c r="E280" s="476" t="s">
        <v>135</v>
      </c>
      <c r="F280" s="400" t="s">
        <v>136</v>
      </c>
      <c r="G280" s="548">
        <v>500.0</v>
      </c>
      <c r="H280" s="576">
        <f t="shared" si="32"/>
        <v>0.06666666667</v>
      </c>
      <c r="I280" s="543" t="s">
        <v>342</v>
      </c>
      <c r="J280" s="475"/>
      <c r="K280" s="475"/>
      <c r="L280" s="475"/>
      <c r="M280" s="475"/>
      <c r="N280" s="475"/>
      <c r="O280" s="475"/>
      <c r="P280" s="475"/>
      <c r="Q280" s="475"/>
      <c r="R280" s="475"/>
      <c r="S280" s="475"/>
      <c r="T280" s="475"/>
      <c r="U280" s="475"/>
      <c r="V280" s="475"/>
      <c r="W280" s="475"/>
      <c r="X280" s="475"/>
      <c r="Y280" s="475"/>
      <c r="Z280" s="475"/>
      <c r="AA280" s="475"/>
      <c r="AB280" s="475"/>
      <c r="AC280" s="475"/>
      <c r="AD280" s="475"/>
    </row>
    <row r="281">
      <c r="A281" s="192"/>
      <c r="B281" s="486"/>
      <c r="C281" s="572"/>
      <c r="D281" s="509" t="s">
        <v>49</v>
      </c>
      <c r="E281" s="488"/>
      <c r="F281" s="463" t="s">
        <v>90</v>
      </c>
      <c r="G281" s="573">
        <f>SUM(G282:G288)</f>
        <v>10900</v>
      </c>
      <c r="H281" s="574">
        <f>G281/$G$273</f>
        <v>0.3838028169</v>
      </c>
      <c r="I281" s="499"/>
      <c r="J281" s="508"/>
      <c r="K281" s="508"/>
      <c r="L281" s="508"/>
      <c r="M281" s="508"/>
      <c r="N281" s="508"/>
      <c r="O281" s="508"/>
      <c r="P281" s="508"/>
      <c r="Q281" s="508"/>
      <c r="R281" s="508"/>
      <c r="S281" s="508"/>
      <c r="T281" s="508"/>
      <c r="U281" s="508"/>
      <c r="V281" s="508"/>
      <c r="W281" s="508"/>
      <c r="X281" s="508"/>
      <c r="Y281" s="508"/>
      <c r="Z281" s="508"/>
      <c r="AA281" s="508"/>
      <c r="AB281" s="508"/>
      <c r="AC281" s="508"/>
      <c r="AD281" s="508"/>
    </row>
    <row r="282">
      <c r="A282" s="192"/>
      <c r="B282" s="494"/>
      <c r="C282" s="494"/>
      <c r="D282" s="192"/>
      <c r="E282" s="192" t="s">
        <v>188</v>
      </c>
      <c r="F282" s="406" t="s">
        <v>189</v>
      </c>
      <c r="G282" s="577">
        <v>600.0</v>
      </c>
      <c r="H282" s="502">
        <f t="shared" ref="H282:H288" si="33">G282/$G$281</f>
        <v>0.05504587156</v>
      </c>
      <c r="I282" s="575" t="s">
        <v>343</v>
      </c>
      <c r="J282" s="475"/>
      <c r="K282" s="475"/>
      <c r="L282" s="475"/>
      <c r="M282" s="475"/>
      <c r="N282" s="475"/>
      <c r="O282" s="475"/>
      <c r="P282" s="475"/>
      <c r="Q282" s="475"/>
      <c r="R282" s="475"/>
      <c r="S282" s="475"/>
      <c r="T282" s="475"/>
      <c r="U282" s="475"/>
      <c r="V282" s="475"/>
      <c r="W282" s="475"/>
      <c r="X282" s="475"/>
      <c r="Y282" s="475"/>
      <c r="Z282" s="475"/>
      <c r="AA282" s="475"/>
      <c r="AB282" s="475"/>
      <c r="AC282" s="475"/>
      <c r="AD282" s="475"/>
    </row>
    <row r="283">
      <c r="A283" s="192"/>
      <c r="B283" s="494"/>
      <c r="C283" s="494"/>
      <c r="D283" s="192"/>
      <c r="E283" s="189" t="s">
        <v>129</v>
      </c>
      <c r="F283" s="406" t="s">
        <v>130</v>
      </c>
      <c r="G283" s="404">
        <v>5000.0</v>
      </c>
      <c r="H283" s="502">
        <f t="shared" si="33"/>
        <v>0.4587155963</v>
      </c>
      <c r="I283" s="566" t="s">
        <v>348</v>
      </c>
      <c r="J283" s="578"/>
      <c r="K283" s="475"/>
      <c r="L283" s="475"/>
      <c r="M283" s="475"/>
      <c r="N283" s="475"/>
      <c r="O283" s="475"/>
      <c r="P283" s="475"/>
      <c r="Q283" s="475"/>
      <c r="R283" s="475"/>
      <c r="S283" s="475"/>
      <c r="T283" s="475"/>
      <c r="U283" s="475"/>
      <c r="V283" s="475"/>
      <c r="W283" s="475"/>
      <c r="X283" s="475"/>
      <c r="Y283" s="475"/>
      <c r="Z283" s="475"/>
      <c r="AA283" s="475"/>
      <c r="AB283" s="475"/>
      <c r="AC283" s="475"/>
      <c r="AD283" s="475"/>
    </row>
    <row r="284">
      <c r="A284" s="192"/>
      <c r="B284" s="494"/>
      <c r="C284" s="494"/>
      <c r="D284" s="192"/>
      <c r="E284" s="192" t="s">
        <v>167</v>
      </c>
      <c r="F284" s="406" t="s">
        <v>168</v>
      </c>
      <c r="G284" s="520">
        <v>700.0</v>
      </c>
      <c r="H284" s="502">
        <f t="shared" si="33"/>
        <v>0.06422018349</v>
      </c>
      <c r="I284" s="543" t="s">
        <v>349</v>
      </c>
      <c r="J284" s="475"/>
      <c r="K284" s="475"/>
      <c r="L284" s="475"/>
      <c r="M284" s="475"/>
      <c r="N284" s="475"/>
      <c r="O284" s="475"/>
      <c r="P284" s="475"/>
      <c r="Q284" s="475"/>
      <c r="R284" s="475"/>
      <c r="S284" s="475"/>
      <c r="T284" s="475"/>
      <c r="U284" s="475"/>
      <c r="V284" s="475"/>
      <c r="W284" s="475"/>
      <c r="X284" s="475"/>
      <c r="Y284" s="475"/>
      <c r="Z284" s="475"/>
      <c r="AA284" s="475"/>
      <c r="AB284" s="475"/>
      <c r="AC284" s="475"/>
      <c r="AD284" s="475"/>
    </row>
    <row r="285">
      <c r="A285" s="192"/>
      <c r="B285" s="494"/>
      <c r="C285" s="494"/>
      <c r="D285" s="192"/>
      <c r="E285" s="192" t="s">
        <v>132</v>
      </c>
      <c r="F285" s="406" t="s">
        <v>133</v>
      </c>
      <c r="G285" s="577">
        <v>200.0</v>
      </c>
      <c r="H285" s="502">
        <f t="shared" si="33"/>
        <v>0.01834862385</v>
      </c>
      <c r="I285" s="543" t="s">
        <v>350</v>
      </c>
      <c r="J285" s="475"/>
      <c r="K285" s="475"/>
      <c r="L285" s="475"/>
      <c r="M285" s="475"/>
      <c r="N285" s="475"/>
      <c r="O285" s="475"/>
      <c r="P285" s="475"/>
      <c r="Q285" s="475"/>
      <c r="R285" s="475"/>
      <c r="S285" s="475"/>
      <c r="T285" s="475"/>
      <c r="U285" s="475"/>
      <c r="V285" s="475"/>
      <c r="W285" s="475"/>
      <c r="X285" s="475"/>
      <c r="Y285" s="475"/>
      <c r="Z285" s="475"/>
      <c r="AA285" s="475"/>
      <c r="AB285" s="475"/>
      <c r="AC285" s="475"/>
      <c r="AD285" s="475"/>
    </row>
    <row r="286">
      <c r="A286" s="192"/>
      <c r="B286" s="494"/>
      <c r="C286" s="494"/>
      <c r="D286" s="192"/>
      <c r="E286" s="192" t="s">
        <v>140</v>
      </c>
      <c r="F286" s="406" t="s">
        <v>141</v>
      </c>
      <c r="G286" s="577">
        <v>700.0</v>
      </c>
      <c r="H286" s="502">
        <f t="shared" si="33"/>
        <v>0.06422018349</v>
      </c>
      <c r="I286" s="474" t="s">
        <v>347</v>
      </c>
      <c r="J286" s="475"/>
      <c r="K286" s="475"/>
      <c r="L286" s="475"/>
      <c r="M286" s="475"/>
      <c r="N286" s="475"/>
      <c r="O286" s="475"/>
      <c r="P286" s="475"/>
      <c r="Q286" s="475"/>
      <c r="R286" s="475"/>
      <c r="S286" s="475"/>
      <c r="T286" s="475"/>
      <c r="U286" s="475"/>
      <c r="V286" s="475"/>
      <c r="W286" s="475"/>
      <c r="X286" s="475"/>
      <c r="Y286" s="475"/>
      <c r="Z286" s="475"/>
      <c r="AA286" s="475"/>
      <c r="AB286" s="475"/>
      <c r="AC286" s="475"/>
      <c r="AD286" s="475"/>
    </row>
    <row r="287">
      <c r="A287" s="192"/>
      <c r="B287" s="494"/>
      <c r="C287" s="494"/>
      <c r="D287" s="192"/>
      <c r="E287" s="192" t="s">
        <v>255</v>
      </c>
      <c r="F287" s="406" t="s">
        <v>256</v>
      </c>
      <c r="G287" s="577">
        <v>3200.0</v>
      </c>
      <c r="H287" s="502">
        <f t="shared" si="33"/>
        <v>0.2935779817</v>
      </c>
      <c r="I287" s="543" t="s">
        <v>351</v>
      </c>
      <c r="J287" s="475"/>
      <c r="K287" s="475"/>
      <c r="L287" s="475"/>
      <c r="M287" s="475"/>
      <c r="N287" s="475"/>
      <c r="O287" s="475"/>
      <c r="P287" s="475"/>
      <c r="Q287" s="475"/>
      <c r="R287" s="475"/>
      <c r="S287" s="475"/>
      <c r="T287" s="475"/>
      <c r="U287" s="475"/>
      <c r="V287" s="475"/>
      <c r="W287" s="475"/>
      <c r="X287" s="475"/>
      <c r="Y287" s="475"/>
      <c r="Z287" s="475"/>
      <c r="AA287" s="475"/>
      <c r="AB287" s="475"/>
      <c r="AC287" s="475"/>
      <c r="AD287" s="475"/>
    </row>
    <row r="288">
      <c r="A288" s="192"/>
      <c r="B288" s="494"/>
      <c r="C288" s="494"/>
      <c r="D288" s="192"/>
      <c r="E288" s="192" t="s">
        <v>135</v>
      </c>
      <c r="F288" s="406" t="s">
        <v>136</v>
      </c>
      <c r="G288" s="577">
        <v>500.0</v>
      </c>
      <c r="H288" s="576">
        <f t="shared" si="33"/>
        <v>0.04587155963</v>
      </c>
      <c r="I288" s="543" t="s">
        <v>342</v>
      </c>
      <c r="J288" s="475"/>
      <c r="K288" s="475"/>
      <c r="L288" s="475"/>
      <c r="M288" s="475"/>
      <c r="N288" s="475"/>
      <c r="O288" s="475"/>
      <c r="P288" s="475"/>
      <c r="Q288" s="475"/>
      <c r="R288" s="475"/>
      <c r="S288" s="475"/>
      <c r="T288" s="475"/>
      <c r="U288" s="475"/>
      <c r="V288" s="475"/>
      <c r="W288" s="475"/>
      <c r="X288" s="475"/>
      <c r="Y288" s="475"/>
      <c r="Z288" s="475"/>
      <c r="AA288" s="475"/>
      <c r="AB288" s="475"/>
      <c r="AC288" s="475"/>
      <c r="AD288" s="475"/>
    </row>
    <row r="289">
      <c r="A289" s="192"/>
      <c r="B289" s="486"/>
      <c r="C289" s="572"/>
      <c r="D289" s="509" t="s">
        <v>51</v>
      </c>
      <c r="E289" s="488"/>
      <c r="F289" s="463" t="s">
        <v>91</v>
      </c>
      <c r="G289" s="573">
        <f>SUM(G290:G295)</f>
        <v>10000</v>
      </c>
      <c r="H289" s="574">
        <f>G289/$G$273</f>
        <v>0.3521126761</v>
      </c>
      <c r="I289" s="499"/>
      <c r="J289" s="508"/>
      <c r="K289" s="508"/>
      <c r="L289" s="508"/>
      <c r="M289" s="508"/>
      <c r="N289" s="508"/>
      <c r="O289" s="508"/>
      <c r="P289" s="508"/>
      <c r="Q289" s="508"/>
      <c r="R289" s="508"/>
      <c r="S289" s="508"/>
      <c r="T289" s="508"/>
      <c r="U289" s="508"/>
      <c r="V289" s="508"/>
      <c r="W289" s="508"/>
      <c r="X289" s="508"/>
      <c r="Y289" s="508"/>
      <c r="Z289" s="508"/>
      <c r="AA289" s="508"/>
      <c r="AB289" s="508"/>
      <c r="AC289" s="508"/>
      <c r="AD289" s="508"/>
    </row>
    <row r="290">
      <c r="A290" s="192"/>
      <c r="B290" s="494"/>
      <c r="C290" s="494"/>
      <c r="D290" s="192"/>
      <c r="E290" s="192" t="s">
        <v>123</v>
      </c>
      <c r="F290" s="406" t="s">
        <v>124</v>
      </c>
      <c r="G290" s="577">
        <v>3000.0</v>
      </c>
      <c r="H290" s="502">
        <f t="shared" ref="H290:H295" si="34">G290/$G289</f>
        <v>0.3</v>
      </c>
      <c r="I290" s="575" t="s">
        <v>352</v>
      </c>
      <c r="J290" s="475"/>
      <c r="K290" s="475"/>
      <c r="L290" s="475"/>
      <c r="M290" s="475"/>
      <c r="N290" s="475"/>
      <c r="O290" s="475"/>
      <c r="P290" s="475"/>
      <c r="Q290" s="475"/>
      <c r="R290" s="475"/>
      <c r="S290" s="475"/>
      <c r="T290" s="475"/>
      <c r="U290" s="475"/>
      <c r="V290" s="475"/>
      <c r="W290" s="475"/>
      <c r="X290" s="475"/>
      <c r="Y290" s="475"/>
      <c r="Z290" s="475"/>
      <c r="AA290" s="475"/>
      <c r="AB290" s="475"/>
      <c r="AC290" s="475"/>
      <c r="AD290" s="475"/>
    </row>
    <row r="291">
      <c r="A291" s="192"/>
      <c r="B291" s="494"/>
      <c r="C291" s="494"/>
      <c r="D291" s="192"/>
      <c r="E291" s="192" t="s">
        <v>188</v>
      </c>
      <c r="F291" s="406" t="s">
        <v>189</v>
      </c>
      <c r="G291" s="577">
        <v>600.0</v>
      </c>
      <c r="H291" s="502">
        <f t="shared" si="34"/>
        <v>0.2</v>
      </c>
      <c r="I291" s="575" t="s">
        <v>343</v>
      </c>
      <c r="J291" s="475"/>
      <c r="K291" s="475"/>
      <c r="L291" s="475"/>
      <c r="M291" s="475"/>
      <c r="N291" s="475"/>
      <c r="O291" s="475"/>
      <c r="P291" s="475"/>
      <c r="Q291" s="475"/>
      <c r="R291" s="475"/>
      <c r="S291" s="475"/>
      <c r="T291" s="475"/>
      <c r="U291" s="475"/>
      <c r="V291" s="475"/>
      <c r="W291" s="475"/>
      <c r="X291" s="475"/>
      <c r="Y291" s="475"/>
      <c r="Z291" s="475"/>
      <c r="AA291" s="475"/>
      <c r="AB291" s="475"/>
      <c r="AC291" s="475"/>
      <c r="AD291" s="475"/>
    </row>
    <row r="292">
      <c r="A292" s="192"/>
      <c r="B292" s="494"/>
      <c r="C292" s="494"/>
      <c r="D292" s="192"/>
      <c r="E292" s="192" t="s">
        <v>129</v>
      </c>
      <c r="F292" s="406" t="s">
        <v>130</v>
      </c>
      <c r="G292" s="577">
        <v>5000.0</v>
      </c>
      <c r="H292" s="502">
        <f t="shared" si="34"/>
        <v>8.333333333</v>
      </c>
      <c r="I292" s="566" t="s">
        <v>353</v>
      </c>
      <c r="J292" s="475"/>
      <c r="K292" s="475"/>
      <c r="L292" s="475"/>
      <c r="M292" s="475"/>
      <c r="N292" s="475"/>
      <c r="O292" s="475"/>
      <c r="P292" s="475"/>
      <c r="Q292" s="475"/>
      <c r="R292" s="475"/>
      <c r="S292" s="475"/>
      <c r="T292" s="475"/>
      <c r="U292" s="475"/>
      <c r="V292" s="475"/>
      <c r="W292" s="475"/>
      <c r="X292" s="475"/>
      <c r="Y292" s="475"/>
      <c r="Z292" s="475"/>
      <c r="AA292" s="475"/>
      <c r="AB292" s="475"/>
      <c r="AC292" s="475"/>
      <c r="AD292" s="475"/>
    </row>
    <row r="293">
      <c r="A293" s="192"/>
      <c r="B293" s="494"/>
      <c r="C293" s="494"/>
      <c r="D293" s="192"/>
      <c r="E293" s="192" t="s">
        <v>132</v>
      </c>
      <c r="F293" s="406" t="s">
        <v>133</v>
      </c>
      <c r="G293" s="577">
        <v>200.0</v>
      </c>
      <c r="H293" s="502">
        <f t="shared" si="34"/>
        <v>0.04</v>
      </c>
      <c r="I293" s="532" t="s">
        <v>350</v>
      </c>
      <c r="J293" s="475"/>
      <c r="K293" s="475"/>
      <c r="L293" s="475"/>
      <c r="M293" s="475"/>
      <c r="N293" s="475"/>
      <c r="O293" s="475"/>
      <c r="P293" s="475"/>
      <c r="Q293" s="475"/>
      <c r="R293" s="475"/>
      <c r="S293" s="475"/>
      <c r="T293" s="475"/>
      <c r="U293" s="475"/>
      <c r="V293" s="475"/>
      <c r="W293" s="475"/>
      <c r="X293" s="475"/>
      <c r="Y293" s="475"/>
      <c r="Z293" s="475"/>
      <c r="AA293" s="475"/>
      <c r="AB293" s="475"/>
      <c r="AC293" s="475"/>
      <c r="AD293" s="475"/>
    </row>
    <row r="294">
      <c r="A294" s="192"/>
      <c r="B294" s="494"/>
      <c r="C294" s="494"/>
      <c r="D294" s="192"/>
      <c r="E294" s="192" t="s">
        <v>140</v>
      </c>
      <c r="F294" s="406" t="s">
        <v>141</v>
      </c>
      <c r="G294" s="577">
        <v>700.0</v>
      </c>
      <c r="H294" s="502">
        <f t="shared" si="34"/>
        <v>3.5</v>
      </c>
      <c r="I294" s="474" t="s">
        <v>347</v>
      </c>
      <c r="J294" s="475"/>
      <c r="K294" s="475"/>
      <c r="L294" s="475"/>
      <c r="M294" s="475"/>
      <c r="N294" s="475"/>
      <c r="O294" s="475"/>
      <c r="P294" s="475"/>
      <c r="Q294" s="475"/>
      <c r="R294" s="475"/>
      <c r="S294" s="475"/>
      <c r="T294" s="475"/>
      <c r="U294" s="475"/>
      <c r="V294" s="475"/>
      <c r="W294" s="475"/>
      <c r="X294" s="475"/>
      <c r="Y294" s="475"/>
      <c r="Z294" s="475"/>
      <c r="AA294" s="475"/>
      <c r="AB294" s="475"/>
      <c r="AC294" s="475"/>
      <c r="AD294" s="475"/>
    </row>
    <row r="295">
      <c r="A295" s="192"/>
      <c r="B295" s="494"/>
      <c r="C295" s="494"/>
      <c r="D295" s="192"/>
      <c r="E295" s="192" t="s">
        <v>135</v>
      </c>
      <c r="F295" s="406" t="s">
        <v>136</v>
      </c>
      <c r="G295" s="577">
        <v>500.0</v>
      </c>
      <c r="H295" s="502">
        <f t="shared" si="34"/>
        <v>0.7142857143</v>
      </c>
      <c r="I295" s="474" t="s">
        <v>342</v>
      </c>
      <c r="J295" s="475"/>
      <c r="K295" s="475"/>
      <c r="L295" s="475"/>
      <c r="M295" s="475"/>
      <c r="N295" s="475"/>
      <c r="O295" s="475"/>
      <c r="P295" s="475"/>
      <c r="Q295" s="475"/>
      <c r="R295" s="475"/>
      <c r="S295" s="475"/>
      <c r="T295" s="475"/>
      <c r="U295" s="475"/>
      <c r="V295" s="475"/>
      <c r="W295" s="475"/>
      <c r="X295" s="475"/>
      <c r="Y295" s="475"/>
      <c r="Z295" s="475"/>
      <c r="AA295" s="475"/>
      <c r="AB295" s="475"/>
      <c r="AC295" s="475"/>
      <c r="AD295" s="475"/>
    </row>
    <row r="296">
      <c r="A296" s="347"/>
      <c r="B296" s="394"/>
      <c r="C296" s="394" t="s">
        <v>59</v>
      </c>
      <c r="D296" s="394" t="s">
        <v>59</v>
      </c>
      <c r="E296" s="395"/>
      <c r="F296" s="396" t="s">
        <v>60</v>
      </c>
      <c r="G296" s="422">
        <f>ROUND((G258+G265+G273)/95*5,0)</f>
        <v>5235</v>
      </c>
      <c r="H296" s="579">
        <f>G296/$G$257</f>
        <v>0.04999761234</v>
      </c>
      <c r="I296" s="396" t="s">
        <v>164</v>
      </c>
      <c r="J296" s="424"/>
      <c r="K296" s="424"/>
      <c r="L296" s="424"/>
      <c r="M296" s="424"/>
      <c r="N296" s="424"/>
      <c r="O296" s="424"/>
      <c r="P296" s="424"/>
      <c r="Q296" s="424"/>
      <c r="R296" s="424"/>
      <c r="S296" s="424"/>
      <c r="T296" s="424"/>
      <c r="U296" s="424"/>
      <c r="V296" s="424"/>
      <c r="W296" s="424"/>
      <c r="X296" s="424"/>
      <c r="Y296" s="424"/>
      <c r="Z296" s="424"/>
      <c r="AA296" s="424"/>
      <c r="AB296" s="424"/>
      <c r="AC296" s="424"/>
      <c r="AD296" s="424"/>
    </row>
    <row r="297">
      <c r="A297" s="347"/>
      <c r="B297" s="323"/>
      <c r="C297" s="323"/>
      <c r="D297" s="323"/>
      <c r="E297" s="223"/>
      <c r="F297" s="348"/>
      <c r="G297" s="434"/>
      <c r="H297" s="371"/>
      <c r="I297" s="580"/>
      <c r="J297" s="337"/>
      <c r="K297" s="233"/>
      <c r="L297" s="233"/>
      <c r="M297" s="233"/>
      <c r="N297" s="233"/>
      <c r="O297" s="233"/>
      <c r="P297" s="233"/>
      <c r="Q297" s="233"/>
      <c r="R297" s="233"/>
      <c r="S297" s="233"/>
      <c r="T297" s="233"/>
      <c r="U297" s="233"/>
      <c r="V297" s="233"/>
      <c r="W297" s="233"/>
      <c r="X297" s="233"/>
      <c r="Y297" s="233"/>
      <c r="Z297" s="233"/>
      <c r="AA297" s="233"/>
      <c r="AB297" s="233"/>
      <c r="AC297" s="233"/>
      <c r="AD297" s="233"/>
    </row>
    <row r="298">
      <c r="A298" s="347"/>
      <c r="B298" s="323"/>
      <c r="C298" s="323"/>
      <c r="D298" s="323"/>
      <c r="E298" s="223"/>
      <c r="F298" s="348"/>
      <c r="G298" s="434"/>
      <c r="H298" s="336"/>
      <c r="I298" s="336"/>
      <c r="J298" s="337"/>
      <c r="K298" s="233"/>
      <c r="L298" s="233"/>
      <c r="M298" s="233"/>
      <c r="N298" s="233"/>
      <c r="O298" s="233"/>
      <c r="P298" s="233"/>
      <c r="Q298" s="233"/>
      <c r="R298" s="233"/>
      <c r="S298" s="233"/>
      <c r="T298" s="233"/>
      <c r="U298" s="233"/>
      <c r="V298" s="233"/>
      <c r="W298" s="233"/>
      <c r="X298" s="233"/>
      <c r="Y298" s="233"/>
      <c r="Z298" s="233"/>
      <c r="AA298" s="233"/>
      <c r="AB298" s="233"/>
      <c r="AC298" s="233"/>
      <c r="AD298" s="233"/>
    </row>
    <row r="299">
      <c r="A299" s="581"/>
      <c r="B299" s="351" t="s">
        <v>26</v>
      </c>
      <c r="C299" s="351" t="s">
        <v>47</v>
      </c>
      <c r="D299" s="351" t="s">
        <v>47</v>
      </c>
      <c r="E299" s="352"/>
      <c r="F299" s="353" t="s">
        <v>27</v>
      </c>
      <c r="G299" s="421">
        <f>G300+G302+G307+G312+G317+G323+G326+G329</f>
        <v>40853</v>
      </c>
      <c r="H299" s="355">
        <f>G299/$G$8</f>
        <v>0.03450728009</v>
      </c>
      <c r="I299" s="353"/>
      <c r="J299" s="357"/>
      <c r="K299" s="358"/>
      <c r="L299" s="358"/>
      <c r="M299" s="358"/>
      <c r="N299" s="358"/>
      <c r="O299" s="358"/>
      <c r="P299" s="358"/>
      <c r="Q299" s="358"/>
      <c r="R299" s="358"/>
      <c r="S299" s="358"/>
      <c r="T299" s="358"/>
      <c r="U299" s="358"/>
      <c r="V299" s="358"/>
      <c r="W299" s="358"/>
      <c r="X299" s="358"/>
      <c r="Y299" s="358"/>
      <c r="Z299" s="358"/>
      <c r="AA299" s="358"/>
      <c r="AB299" s="358"/>
      <c r="AC299" s="358"/>
      <c r="AD299" s="358"/>
    </row>
    <row r="300">
      <c r="A300" s="347"/>
      <c r="B300" s="394"/>
      <c r="C300" s="394" t="s">
        <v>47</v>
      </c>
      <c r="D300" s="394" t="s">
        <v>46</v>
      </c>
      <c r="E300" s="395"/>
      <c r="F300" s="396" t="s">
        <v>48</v>
      </c>
      <c r="G300" s="422">
        <f>G301</f>
        <v>1900</v>
      </c>
      <c r="H300" s="365">
        <f>G300/$G$299</f>
        <v>0.04650821237</v>
      </c>
      <c r="I300" s="366"/>
      <c r="J300" s="423"/>
      <c r="K300" s="424"/>
      <c r="L300" s="424"/>
      <c r="M300" s="424"/>
      <c r="N300" s="424"/>
      <c r="O300" s="424"/>
      <c r="P300" s="424"/>
      <c r="Q300" s="424"/>
      <c r="R300" s="424"/>
      <c r="S300" s="424"/>
      <c r="T300" s="424"/>
      <c r="U300" s="424"/>
      <c r="V300" s="424"/>
      <c r="W300" s="424"/>
      <c r="X300" s="424"/>
      <c r="Y300" s="424"/>
      <c r="Z300" s="424"/>
      <c r="AA300" s="424"/>
      <c r="AB300" s="424"/>
      <c r="AC300" s="424"/>
      <c r="AD300" s="424"/>
    </row>
    <row r="301">
      <c r="A301" s="347"/>
      <c r="B301" s="323"/>
      <c r="C301" s="323"/>
      <c r="D301" s="323"/>
      <c r="E301" s="225" t="s">
        <v>123</v>
      </c>
      <c r="F301" s="428" t="s">
        <v>124</v>
      </c>
      <c r="G301" s="582">
        <v>1900.0</v>
      </c>
      <c r="H301" s="371">
        <f>G301/G300</f>
        <v>1</v>
      </c>
      <c r="I301" s="348" t="s">
        <v>354</v>
      </c>
      <c r="J301" s="337"/>
      <c r="K301" s="233"/>
      <c r="L301" s="233"/>
      <c r="M301" s="233"/>
      <c r="N301" s="233"/>
      <c r="O301" s="233"/>
      <c r="P301" s="233"/>
      <c r="Q301" s="233"/>
      <c r="R301" s="233"/>
      <c r="S301" s="233"/>
      <c r="T301" s="233"/>
      <c r="U301" s="233"/>
      <c r="V301" s="233"/>
      <c r="W301" s="233"/>
      <c r="X301" s="233"/>
      <c r="Y301" s="233"/>
      <c r="Z301" s="233"/>
      <c r="AA301" s="233"/>
      <c r="AB301" s="233"/>
      <c r="AC301" s="233"/>
      <c r="AD301" s="233"/>
    </row>
    <row r="302">
      <c r="A302" s="347"/>
      <c r="B302" s="394"/>
      <c r="C302" s="394" t="s">
        <v>47</v>
      </c>
      <c r="D302" s="394" t="s">
        <v>49</v>
      </c>
      <c r="E302" s="395"/>
      <c r="F302" s="530" t="s">
        <v>355</v>
      </c>
      <c r="G302" s="422">
        <f>G304</f>
        <v>4940</v>
      </c>
      <c r="H302" s="365">
        <f>G302/$G$299</f>
        <v>0.1209213522</v>
      </c>
      <c r="I302" s="366"/>
      <c r="J302" s="423"/>
      <c r="K302" s="424"/>
      <c r="L302" s="424"/>
      <c r="M302" s="424"/>
      <c r="N302" s="424"/>
      <c r="O302" s="424"/>
      <c r="P302" s="424"/>
      <c r="Q302" s="424"/>
      <c r="R302" s="424"/>
      <c r="S302" s="424"/>
      <c r="T302" s="424"/>
      <c r="U302" s="424"/>
      <c r="V302" s="424"/>
      <c r="W302" s="424"/>
      <c r="X302" s="424"/>
      <c r="Y302" s="424"/>
      <c r="Z302" s="424"/>
      <c r="AA302" s="424"/>
      <c r="AB302" s="424"/>
      <c r="AC302" s="424"/>
      <c r="AD302" s="424"/>
    </row>
    <row r="303">
      <c r="A303" s="347"/>
      <c r="B303" s="394"/>
      <c r="C303" s="394"/>
      <c r="D303" s="394"/>
      <c r="E303" s="395"/>
      <c r="F303" s="396" t="s">
        <v>356</v>
      </c>
      <c r="G303" s="422"/>
      <c r="H303" s="365"/>
      <c r="I303" s="366"/>
      <c r="J303" s="423"/>
      <c r="K303" s="424"/>
      <c r="L303" s="424"/>
      <c r="M303" s="424"/>
      <c r="N303" s="424"/>
      <c r="O303" s="424"/>
      <c r="P303" s="424"/>
      <c r="Q303" s="424"/>
      <c r="R303" s="424"/>
      <c r="S303" s="424"/>
      <c r="T303" s="424"/>
      <c r="U303" s="424"/>
      <c r="V303" s="424"/>
      <c r="W303" s="424"/>
      <c r="X303" s="424"/>
      <c r="Y303" s="424"/>
      <c r="Z303" s="424"/>
      <c r="AA303" s="424"/>
      <c r="AB303" s="424"/>
      <c r="AC303" s="424"/>
      <c r="AD303" s="424"/>
    </row>
    <row r="304">
      <c r="A304" s="347"/>
      <c r="B304" s="323"/>
      <c r="C304" s="323"/>
      <c r="D304" s="323"/>
      <c r="E304" s="223" t="s">
        <v>123</v>
      </c>
      <c r="F304" s="348" t="s">
        <v>124</v>
      </c>
      <c r="G304" s="583">
        <f>190*10+190*12+190*4</f>
        <v>4940</v>
      </c>
      <c r="H304" s="371">
        <f>G304/$G$302</f>
        <v>1</v>
      </c>
      <c r="I304" s="406" t="s">
        <v>357</v>
      </c>
      <c r="J304" s="337"/>
      <c r="K304" s="233"/>
      <c r="L304" s="233"/>
      <c r="M304" s="233"/>
      <c r="N304" s="233"/>
      <c r="O304" s="233"/>
      <c r="P304" s="233"/>
      <c r="Q304" s="233"/>
      <c r="R304" s="233"/>
      <c r="S304" s="233"/>
      <c r="T304" s="233"/>
      <c r="U304" s="233"/>
      <c r="V304" s="233"/>
      <c r="W304" s="233"/>
      <c r="X304" s="233"/>
      <c r="Y304" s="233"/>
      <c r="Z304" s="233"/>
      <c r="AA304" s="233"/>
      <c r="AB304" s="233"/>
      <c r="AC304" s="233"/>
      <c r="AD304" s="233"/>
    </row>
    <row r="305">
      <c r="A305" s="347"/>
      <c r="B305" s="323"/>
      <c r="C305" s="323"/>
      <c r="D305" s="323"/>
      <c r="E305" s="223"/>
      <c r="F305" s="348"/>
      <c r="G305" s="434"/>
      <c r="H305" s="371"/>
      <c r="I305" s="406" t="s">
        <v>358</v>
      </c>
      <c r="J305" s="337"/>
      <c r="K305" s="233"/>
      <c r="L305" s="233"/>
      <c r="M305" s="233"/>
      <c r="N305" s="233"/>
      <c r="O305" s="233"/>
      <c r="P305" s="233"/>
      <c r="Q305" s="233"/>
      <c r="R305" s="233"/>
      <c r="S305" s="233"/>
      <c r="T305" s="233"/>
      <c r="U305" s="233"/>
      <c r="V305" s="233"/>
      <c r="W305" s="233"/>
      <c r="X305" s="233"/>
      <c r="Y305" s="233"/>
      <c r="Z305" s="233"/>
      <c r="AA305" s="233"/>
      <c r="AB305" s="233"/>
      <c r="AC305" s="233"/>
      <c r="AD305" s="233"/>
    </row>
    <row r="306">
      <c r="A306" s="347"/>
      <c r="B306" s="323"/>
      <c r="C306" s="323"/>
      <c r="D306" s="323"/>
      <c r="E306" s="223"/>
      <c r="F306" s="348"/>
      <c r="G306" s="434"/>
      <c r="H306" s="371"/>
      <c r="I306" s="406" t="s">
        <v>359</v>
      </c>
      <c r="J306" s="337"/>
      <c r="K306" s="233"/>
      <c r="L306" s="233"/>
      <c r="M306" s="233"/>
      <c r="N306" s="233"/>
      <c r="O306" s="233"/>
      <c r="P306" s="233"/>
      <c r="Q306" s="233"/>
      <c r="R306" s="233"/>
      <c r="S306" s="233"/>
      <c r="T306" s="233"/>
      <c r="U306" s="233"/>
      <c r="V306" s="233"/>
      <c r="W306" s="233"/>
      <c r="X306" s="233"/>
      <c r="Y306" s="233"/>
      <c r="Z306" s="233"/>
      <c r="AA306" s="233"/>
      <c r="AB306" s="233"/>
      <c r="AC306" s="233"/>
      <c r="AD306" s="233"/>
    </row>
    <row r="307">
      <c r="A307" s="347"/>
      <c r="B307" s="394"/>
      <c r="C307" s="394" t="s">
        <v>47</v>
      </c>
      <c r="D307" s="394" t="s">
        <v>51</v>
      </c>
      <c r="E307" s="395"/>
      <c r="F307" s="530" t="s">
        <v>360</v>
      </c>
      <c r="G307" s="422">
        <f>G309</f>
        <v>4560</v>
      </c>
      <c r="H307" s="365">
        <f>G307/$G$299</f>
        <v>0.1116197097</v>
      </c>
      <c r="I307" s="366"/>
      <c r="J307" s="423"/>
      <c r="K307" s="424"/>
      <c r="L307" s="424"/>
      <c r="M307" s="424"/>
      <c r="N307" s="424"/>
      <c r="O307" s="424"/>
      <c r="P307" s="424"/>
      <c r="Q307" s="424"/>
      <c r="R307" s="424"/>
      <c r="S307" s="424"/>
      <c r="T307" s="424"/>
      <c r="U307" s="424"/>
      <c r="V307" s="424"/>
      <c r="W307" s="424"/>
      <c r="X307" s="424"/>
      <c r="Y307" s="424"/>
      <c r="Z307" s="424"/>
      <c r="AA307" s="424"/>
      <c r="AB307" s="424"/>
      <c r="AC307" s="424"/>
      <c r="AD307" s="424"/>
    </row>
    <row r="308">
      <c r="A308" s="347"/>
      <c r="B308" s="394"/>
      <c r="C308" s="394"/>
      <c r="D308" s="394"/>
      <c r="E308" s="395"/>
      <c r="F308" s="530" t="s">
        <v>361</v>
      </c>
      <c r="G308" s="422"/>
      <c r="H308" s="365"/>
      <c r="I308" s="366"/>
      <c r="J308" s="423"/>
      <c r="K308" s="424"/>
      <c r="L308" s="424"/>
      <c r="M308" s="424"/>
      <c r="N308" s="424"/>
      <c r="O308" s="424"/>
      <c r="P308" s="424"/>
      <c r="Q308" s="424"/>
      <c r="R308" s="424"/>
      <c r="S308" s="424"/>
      <c r="T308" s="424"/>
      <c r="U308" s="424"/>
      <c r="V308" s="424"/>
      <c r="W308" s="424"/>
      <c r="X308" s="424"/>
      <c r="Y308" s="424"/>
      <c r="Z308" s="424"/>
      <c r="AA308" s="424"/>
      <c r="AB308" s="424"/>
      <c r="AC308" s="424"/>
      <c r="AD308" s="424"/>
    </row>
    <row r="309">
      <c r="A309" s="347"/>
      <c r="B309" s="323"/>
      <c r="C309" s="323"/>
      <c r="D309" s="323"/>
      <c r="E309" s="223" t="s">
        <v>123</v>
      </c>
      <c r="F309" s="348" t="s">
        <v>124</v>
      </c>
      <c r="G309" s="434">
        <v>4560.0</v>
      </c>
      <c r="H309" s="371">
        <f>G309/$G$307</f>
        <v>1</v>
      </c>
      <c r="I309" s="372" t="s">
        <v>362</v>
      </c>
      <c r="J309" s="337"/>
      <c r="K309" s="233"/>
      <c r="L309" s="233"/>
      <c r="M309" s="233"/>
      <c r="N309" s="233"/>
      <c r="O309" s="233"/>
      <c r="P309" s="233"/>
      <c r="Q309" s="233"/>
      <c r="R309" s="233"/>
      <c r="S309" s="233"/>
      <c r="T309" s="233"/>
      <c r="U309" s="233"/>
      <c r="V309" s="233"/>
      <c r="W309" s="233"/>
      <c r="X309" s="233"/>
      <c r="Y309" s="233"/>
      <c r="Z309" s="233"/>
      <c r="AA309" s="233"/>
      <c r="AB309" s="233"/>
      <c r="AC309" s="233"/>
      <c r="AD309" s="233"/>
    </row>
    <row r="310">
      <c r="A310" s="347"/>
      <c r="B310" s="323"/>
      <c r="C310" s="323"/>
      <c r="D310" s="323"/>
      <c r="E310" s="223"/>
      <c r="F310" s="348"/>
      <c r="G310" s="434"/>
      <c r="H310" s="371"/>
      <c r="I310" s="372" t="s">
        <v>363</v>
      </c>
      <c r="J310" s="337"/>
      <c r="K310" s="233"/>
      <c r="L310" s="233"/>
      <c r="M310" s="233"/>
      <c r="N310" s="233"/>
      <c r="O310" s="233"/>
      <c r="P310" s="233"/>
      <c r="Q310" s="233"/>
      <c r="R310" s="233"/>
      <c r="S310" s="233"/>
      <c r="T310" s="233"/>
      <c r="U310" s="233"/>
      <c r="V310" s="233"/>
      <c r="W310" s="233"/>
      <c r="X310" s="233"/>
      <c r="Y310" s="233"/>
      <c r="Z310" s="233"/>
      <c r="AA310" s="233"/>
      <c r="AB310" s="233"/>
      <c r="AC310" s="233"/>
      <c r="AD310" s="233"/>
    </row>
    <row r="311">
      <c r="A311" s="347"/>
      <c r="B311" s="323"/>
      <c r="C311" s="323"/>
      <c r="D311" s="323"/>
      <c r="E311" s="223"/>
      <c r="F311" s="348"/>
      <c r="G311" s="434"/>
      <c r="H311" s="371"/>
      <c r="I311" s="372" t="s">
        <v>364</v>
      </c>
      <c r="J311" s="337"/>
      <c r="K311" s="233"/>
      <c r="L311" s="233"/>
      <c r="M311" s="233"/>
      <c r="N311" s="233"/>
      <c r="O311" s="233"/>
      <c r="P311" s="233"/>
      <c r="Q311" s="233"/>
      <c r="R311" s="233"/>
      <c r="S311" s="233"/>
      <c r="T311" s="233"/>
      <c r="U311" s="233"/>
      <c r="V311" s="233"/>
      <c r="W311" s="233"/>
      <c r="X311" s="233"/>
      <c r="Y311" s="233"/>
      <c r="Z311" s="233"/>
      <c r="AA311" s="233"/>
      <c r="AB311" s="233"/>
      <c r="AC311" s="233"/>
      <c r="AD311" s="233"/>
    </row>
    <row r="312">
      <c r="A312" s="347"/>
      <c r="B312" s="394"/>
      <c r="C312" s="394" t="s">
        <v>47</v>
      </c>
      <c r="D312" s="394" t="s">
        <v>53</v>
      </c>
      <c r="E312" s="395"/>
      <c r="F312" s="530" t="s">
        <v>365</v>
      </c>
      <c r="G312" s="422">
        <f>G314</f>
        <v>6080</v>
      </c>
      <c r="H312" s="365">
        <f>G312/$G$299</f>
        <v>0.1488262796</v>
      </c>
      <c r="I312" s="366"/>
      <c r="J312" s="423"/>
      <c r="K312" s="424"/>
      <c r="L312" s="424"/>
      <c r="M312" s="424"/>
      <c r="N312" s="424"/>
      <c r="O312" s="424"/>
      <c r="P312" s="424"/>
      <c r="Q312" s="424"/>
      <c r="R312" s="424"/>
      <c r="S312" s="424"/>
      <c r="T312" s="424"/>
      <c r="U312" s="424"/>
      <c r="V312" s="424"/>
      <c r="W312" s="424"/>
      <c r="X312" s="424"/>
      <c r="Y312" s="424"/>
      <c r="Z312" s="424"/>
      <c r="AA312" s="424"/>
      <c r="AB312" s="424"/>
      <c r="AC312" s="424"/>
      <c r="AD312" s="424"/>
    </row>
    <row r="313">
      <c r="A313" s="347"/>
      <c r="B313" s="394"/>
      <c r="C313" s="394"/>
      <c r="D313" s="394"/>
      <c r="E313" s="395"/>
      <c r="F313" s="584" t="s">
        <v>366</v>
      </c>
      <c r="G313" s="422"/>
      <c r="H313" s="365"/>
      <c r="I313" s="366"/>
      <c r="J313" s="423"/>
      <c r="K313" s="424"/>
      <c r="L313" s="424"/>
      <c r="M313" s="424"/>
      <c r="N313" s="424"/>
      <c r="O313" s="424"/>
      <c r="P313" s="424"/>
      <c r="Q313" s="424"/>
      <c r="R313" s="424"/>
      <c r="S313" s="424"/>
      <c r="T313" s="424"/>
      <c r="U313" s="424"/>
      <c r="V313" s="424"/>
      <c r="W313" s="424"/>
      <c r="X313" s="424"/>
      <c r="Y313" s="424"/>
      <c r="Z313" s="424"/>
      <c r="AA313" s="424"/>
      <c r="AB313" s="424"/>
      <c r="AC313" s="424"/>
      <c r="AD313" s="424"/>
    </row>
    <row r="314">
      <c r="A314" s="347"/>
      <c r="B314" s="323"/>
      <c r="C314" s="323"/>
      <c r="D314" s="323"/>
      <c r="E314" s="223" t="s">
        <v>123</v>
      </c>
      <c r="F314" s="348" t="s">
        <v>124</v>
      </c>
      <c r="G314" s="434">
        <f>190*10+190*18+190*4</f>
        <v>6080</v>
      </c>
      <c r="H314" s="371">
        <f>G314/$G$312</f>
        <v>1</v>
      </c>
      <c r="I314" s="372" t="s">
        <v>367</v>
      </c>
      <c r="J314" s="337"/>
      <c r="K314" s="233"/>
      <c r="L314" s="233"/>
      <c r="M314" s="233"/>
      <c r="N314" s="233"/>
      <c r="O314" s="233"/>
      <c r="P314" s="233"/>
      <c r="Q314" s="233"/>
      <c r="R314" s="233"/>
      <c r="S314" s="233"/>
      <c r="T314" s="233"/>
      <c r="U314" s="233"/>
      <c r="V314" s="233"/>
      <c r="W314" s="233"/>
      <c r="X314" s="233"/>
      <c r="Y314" s="233"/>
      <c r="Z314" s="233"/>
      <c r="AA314" s="233"/>
      <c r="AB314" s="233"/>
      <c r="AC314" s="233"/>
      <c r="AD314" s="233"/>
    </row>
    <row r="315">
      <c r="A315" s="347"/>
      <c r="B315" s="323"/>
      <c r="C315" s="323"/>
      <c r="D315" s="323"/>
      <c r="E315" s="223"/>
      <c r="F315" s="348"/>
      <c r="G315" s="434"/>
      <c r="H315" s="371"/>
      <c r="I315" s="372" t="s">
        <v>368</v>
      </c>
      <c r="J315" s="337"/>
      <c r="K315" s="233"/>
      <c r="L315" s="233"/>
      <c r="M315" s="233"/>
      <c r="N315" s="233"/>
      <c r="O315" s="233"/>
      <c r="P315" s="233"/>
      <c r="Q315" s="233"/>
      <c r="R315" s="233"/>
      <c r="S315" s="233"/>
      <c r="T315" s="233"/>
      <c r="U315" s="233"/>
      <c r="V315" s="233"/>
      <c r="W315" s="233"/>
      <c r="X315" s="233"/>
      <c r="Y315" s="233"/>
      <c r="Z315" s="233"/>
      <c r="AA315" s="233"/>
      <c r="AB315" s="233"/>
      <c r="AC315" s="233"/>
      <c r="AD315" s="233"/>
    </row>
    <row r="316">
      <c r="A316" s="347"/>
      <c r="B316" s="323"/>
      <c r="C316" s="323"/>
      <c r="D316" s="323"/>
      <c r="E316" s="223"/>
      <c r="F316" s="348"/>
      <c r="G316" s="434"/>
      <c r="H316" s="371"/>
      <c r="I316" s="372" t="s">
        <v>369</v>
      </c>
      <c r="J316" s="337"/>
      <c r="K316" s="233"/>
      <c r="L316" s="233"/>
      <c r="M316" s="233"/>
      <c r="N316" s="233"/>
      <c r="O316" s="233"/>
      <c r="P316" s="233"/>
      <c r="Q316" s="233"/>
      <c r="R316" s="233"/>
      <c r="S316" s="233"/>
      <c r="T316" s="233"/>
      <c r="U316" s="233"/>
      <c r="V316" s="233"/>
      <c r="W316" s="233"/>
      <c r="X316" s="233"/>
      <c r="Y316" s="233"/>
      <c r="Z316" s="233"/>
      <c r="AA316" s="233"/>
      <c r="AB316" s="233"/>
      <c r="AC316" s="233"/>
      <c r="AD316" s="233"/>
    </row>
    <row r="317">
      <c r="A317" s="347"/>
      <c r="B317" s="394"/>
      <c r="C317" s="394" t="s">
        <v>47</v>
      </c>
      <c r="D317" s="394" t="s">
        <v>55</v>
      </c>
      <c r="E317" s="395"/>
      <c r="F317" s="530" t="s">
        <v>370</v>
      </c>
      <c r="G317" s="422">
        <f>G319+G322</f>
        <v>14680</v>
      </c>
      <c r="H317" s="365">
        <f>G317/$G$299</f>
        <v>0.3593371356</v>
      </c>
      <c r="I317" s="366"/>
      <c r="J317" s="423"/>
      <c r="K317" s="424"/>
      <c r="L317" s="424"/>
      <c r="M317" s="424"/>
      <c r="N317" s="424"/>
      <c r="O317" s="424"/>
      <c r="P317" s="424"/>
      <c r="Q317" s="424"/>
      <c r="R317" s="424"/>
      <c r="S317" s="424"/>
      <c r="T317" s="424"/>
      <c r="U317" s="424"/>
      <c r="V317" s="424"/>
      <c r="W317" s="424"/>
      <c r="X317" s="424"/>
      <c r="Y317" s="424"/>
      <c r="Z317" s="424"/>
      <c r="AA317" s="424"/>
      <c r="AB317" s="424"/>
      <c r="AC317" s="424"/>
      <c r="AD317" s="424"/>
    </row>
    <row r="318">
      <c r="A318" s="347"/>
      <c r="B318" s="394"/>
      <c r="C318" s="394"/>
      <c r="D318" s="394"/>
      <c r="E318" s="395"/>
      <c r="F318" s="530" t="s">
        <v>371</v>
      </c>
      <c r="G318" s="422"/>
      <c r="H318" s="365"/>
      <c r="I318" s="366"/>
      <c r="J318" s="423"/>
      <c r="K318" s="424"/>
      <c r="L318" s="424"/>
      <c r="M318" s="424"/>
      <c r="N318" s="424"/>
      <c r="O318" s="424"/>
      <c r="P318" s="424"/>
      <c r="Q318" s="424"/>
      <c r="R318" s="424"/>
      <c r="S318" s="424"/>
      <c r="T318" s="424"/>
      <c r="U318" s="424"/>
      <c r="V318" s="424"/>
      <c r="W318" s="424"/>
      <c r="X318" s="424"/>
      <c r="Y318" s="424"/>
      <c r="Z318" s="424"/>
      <c r="AA318" s="424"/>
      <c r="AB318" s="424"/>
      <c r="AC318" s="424"/>
      <c r="AD318" s="424"/>
    </row>
    <row r="319">
      <c r="A319" s="347"/>
      <c r="B319" s="323"/>
      <c r="C319" s="323"/>
      <c r="D319" s="323"/>
      <c r="E319" s="223" t="s">
        <v>123</v>
      </c>
      <c r="F319" s="348" t="s">
        <v>124</v>
      </c>
      <c r="G319" s="510">
        <v>12160.0</v>
      </c>
      <c r="H319" s="371">
        <f>G319/$G$317</f>
        <v>0.8283378747</v>
      </c>
      <c r="I319" s="372" t="s">
        <v>372</v>
      </c>
      <c r="J319" s="337"/>
      <c r="K319" s="233"/>
      <c r="L319" s="233"/>
      <c r="M319" s="233"/>
      <c r="N319" s="233"/>
      <c r="O319" s="233"/>
      <c r="P319" s="233"/>
      <c r="Q319" s="233"/>
      <c r="R319" s="233"/>
      <c r="S319" s="233"/>
      <c r="T319" s="233"/>
      <c r="U319" s="233"/>
      <c r="V319" s="233"/>
      <c r="W319" s="233"/>
      <c r="X319" s="233"/>
      <c r="Y319" s="233"/>
      <c r="Z319" s="233"/>
      <c r="AA319" s="233"/>
      <c r="AB319" s="233"/>
      <c r="AC319" s="233"/>
      <c r="AD319" s="233"/>
    </row>
    <row r="320">
      <c r="A320" s="347"/>
      <c r="B320" s="323"/>
      <c r="C320" s="323"/>
      <c r="D320" s="323"/>
      <c r="E320" s="223"/>
      <c r="F320" s="348"/>
      <c r="G320" s="434"/>
      <c r="H320" s="371"/>
      <c r="I320" s="372" t="s">
        <v>373</v>
      </c>
      <c r="J320" s="337"/>
      <c r="K320" s="233"/>
      <c r="L320" s="233"/>
      <c r="M320" s="233"/>
      <c r="N320" s="233"/>
      <c r="O320" s="233"/>
      <c r="P320" s="233"/>
      <c r="Q320" s="233"/>
      <c r="R320" s="233"/>
      <c r="S320" s="233"/>
      <c r="T320" s="233"/>
      <c r="U320" s="233"/>
      <c r="V320" s="233"/>
      <c r="W320" s="233"/>
      <c r="X320" s="233"/>
      <c r="Y320" s="233"/>
      <c r="Z320" s="233"/>
      <c r="AA320" s="233"/>
      <c r="AB320" s="233"/>
      <c r="AC320" s="233"/>
      <c r="AD320" s="233"/>
    </row>
    <row r="321">
      <c r="A321" s="347"/>
      <c r="B321" s="323"/>
      <c r="C321" s="323"/>
      <c r="D321" s="323"/>
      <c r="E321" s="223"/>
      <c r="F321" s="348"/>
      <c r="G321" s="434"/>
      <c r="H321" s="371"/>
      <c r="I321" s="372" t="s">
        <v>374</v>
      </c>
      <c r="J321" s="337"/>
      <c r="K321" s="233"/>
      <c r="L321" s="233"/>
      <c r="M321" s="233"/>
      <c r="N321" s="233"/>
      <c r="O321" s="233"/>
      <c r="P321" s="233"/>
      <c r="Q321" s="233"/>
      <c r="R321" s="233"/>
      <c r="S321" s="233"/>
      <c r="T321" s="233"/>
      <c r="U321" s="233"/>
      <c r="V321" s="233"/>
      <c r="W321" s="233"/>
      <c r="X321" s="233"/>
      <c r="Y321" s="233"/>
      <c r="Z321" s="233"/>
      <c r="AA321" s="233"/>
      <c r="AB321" s="233"/>
      <c r="AC321" s="233"/>
      <c r="AD321" s="233"/>
    </row>
    <row r="322">
      <c r="A322" s="347"/>
      <c r="B322" s="323"/>
      <c r="C322" s="323"/>
      <c r="D322" s="323"/>
      <c r="E322" s="189" t="s">
        <v>246</v>
      </c>
      <c r="F322" s="406" t="s">
        <v>247</v>
      </c>
      <c r="G322" s="285">
        <v>2520.0</v>
      </c>
      <c r="H322" s="371">
        <f>G322/$G$317</f>
        <v>0.1716621253</v>
      </c>
      <c r="I322" s="348" t="s">
        <v>375</v>
      </c>
      <c r="J322" s="585"/>
      <c r="K322" s="233"/>
      <c r="L322" s="233"/>
      <c r="M322" s="233"/>
      <c r="N322" s="233"/>
      <c r="O322" s="233"/>
      <c r="P322" s="233"/>
      <c r="Q322" s="233"/>
      <c r="R322" s="233"/>
      <c r="S322" s="233"/>
      <c r="T322" s="233"/>
      <c r="U322" s="233"/>
      <c r="V322" s="233"/>
      <c r="W322" s="233"/>
      <c r="X322" s="233"/>
      <c r="Y322" s="233"/>
      <c r="Z322" s="233"/>
      <c r="AA322" s="233"/>
      <c r="AB322" s="233"/>
      <c r="AC322" s="233"/>
      <c r="AD322" s="233"/>
    </row>
    <row r="323">
      <c r="A323" s="347"/>
      <c r="B323" s="394"/>
      <c r="C323" s="394" t="s">
        <v>47</v>
      </c>
      <c r="D323" s="394" t="s">
        <v>57</v>
      </c>
      <c r="E323" s="395"/>
      <c r="F323" s="530" t="s">
        <v>96</v>
      </c>
      <c r="G323" s="422">
        <f>G324</f>
        <v>2850</v>
      </c>
      <c r="H323" s="365">
        <f>G323/$G$299</f>
        <v>0.06976231856</v>
      </c>
      <c r="I323" s="366"/>
      <c r="J323" s="423"/>
      <c r="K323" s="424"/>
      <c r="L323" s="424"/>
      <c r="M323" s="424"/>
      <c r="N323" s="424"/>
      <c r="O323" s="424"/>
      <c r="P323" s="424"/>
      <c r="Q323" s="424"/>
      <c r="R323" s="424"/>
      <c r="S323" s="424"/>
      <c r="T323" s="424"/>
      <c r="U323" s="424"/>
      <c r="V323" s="424"/>
      <c r="W323" s="424"/>
      <c r="X323" s="424"/>
      <c r="Y323" s="424"/>
      <c r="Z323" s="424"/>
      <c r="AA323" s="424"/>
      <c r="AB323" s="424"/>
      <c r="AC323" s="424"/>
      <c r="AD323" s="424"/>
    </row>
    <row r="324">
      <c r="A324" s="347"/>
      <c r="B324" s="323"/>
      <c r="C324" s="323"/>
      <c r="D324" s="323"/>
      <c r="E324" s="409" t="s">
        <v>123</v>
      </c>
      <c r="F324" s="406" t="s">
        <v>124</v>
      </c>
      <c r="G324" s="556">
        <v>2850.0</v>
      </c>
      <c r="H324" s="567">
        <f>G324/G323</f>
        <v>1</v>
      </c>
      <c r="I324" s="586" t="s">
        <v>376</v>
      </c>
      <c r="J324" s="233"/>
      <c r="K324" s="233"/>
      <c r="L324" s="233"/>
      <c r="M324" s="233"/>
      <c r="N324" s="233"/>
      <c r="O324" s="233"/>
      <c r="P324" s="233"/>
      <c r="Q324" s="233"/>
      <c r="R324" s="233"/>
      <c r="S324" s="233"/>
      <c r="T324" s="233"/>
      <c r="U324" s="233"/>
      <c r="V324" s="233"/>
      <c r="W324" s="233"/>
      <c r="X324" s="233"/>
      <c r="Y324" s="233"/>
      <c r="Z324" s="233"/>
      <c r="AA324" s="233"/>
      <c r="AB324" s="233"/>
      <c r="AC324" s="233"/>
      <c r="AD324" s="233"/>
    </row>
    <row r="325">
      <c r="A325" s="347"/>
      <c r="B325" s="323"/>
      <c r="C325" s="323"/>
      <c r="D325" s="323"/>
      <c r="E325" s="223"/>
      <c r="F325" s="348"/>
      <c r="G325" s="434"/>
      <c r="H325" s="567"/>
      <c r="I325" s="474" t="s">
        <v>377</v>
      </c>
      <c r="J325" s="233"/>
      <c r="K325" s="233"/>
      <c r="L325" s="233"/>
      <c r="M325" s="233"/>
      <c r="N325" s="233"/>
      <c r="O325" s="233"/>
      <c r="P325" s="233"/>
      <c r="Q325" s="233"/>
      <c r="R325" s="233"/>
      <c r="S325" s="233"/>
      <c r="T325" s="233"/>
      <c r="U325" s="233"/>
      <c r="V325" s="233"/>
      <c r="W325" s="233"/>
      <c r="X325" s="233"/>
      <c r="Y325" s="233"/>
      <c r="Z325" s="233"/>
      <c r="AA325" s="233"/>
      <c r="AB325" s="233"/>
      <c r="AC325" s="233"/>
      <c r="AD325" s="233"/>
    </row>
    <row r="326">
      <c r="A326" s="347"/>
      <c r="B326" s="394"/>
      <c r="C326" s="394" t="s">
        <v>47</v>
      </c>
      <c r="D326" s="394" t="s">
        <v>83</v>
      </c>
      <c r="E326" s="395"/>
      <c r="F326" s="530" t="s">
        <v>97</v>
      </c>
      <c r="G326" s="422">
        <f>G327</f>
        <v>3800</v>
      </c>
      <c r="H326" s="365">
        <f>G326/$G$299</f>
        <v>0.09301642474</v>
      </c>
      <c r="I326" s="366"/>
      <c r="J326" s="423"/>
      <c r="K326" s="424"/>
      <c r="L326" s="424"/>
      <c r="M326" s="424"/>
      <c r="N326" s="424"/>
      <c r="O326" s="424"/>
      <c r="P326" s="424"/>
      <c r="Q326" s="424"/>
      <c r="R326" s="424"/>
      <c r="S326" s="424"/>
      <c r="T326" s="424"/>
      <c r="U326" s="424"/>
      <c r="V326" s="424"/>
      <c r="W326" s="424"/>
      <c r="X326" s="424"/>
      <c r="Y326" s="424"/>
      <c r="Z326" s="424"/>
      <c r="AA326" s="424"/>
      <c r="AB326" s="424"/>
      <c r="AC326" s="424"/>
      <c r="AD326" s="424"/>
    </row>
    <row r="327">
      <c r="A327" s="347"/>
      <c r="B327" s="323"/>
      <c r="C327" s="323"/>
      <c r="D327" s="323"/>
      <c r="E327" s="409" t="s">
        <v>123</v>
      </c>
      <c r="F327" s="406" t="s">
        <v>124</v>
      </c>
      <c r="G327" s="556">
        <v>3800.0</v>
      </c>
      <c r="H327" s="567">
        <f>G327/G326</f>
        <v>1</v>
      </c>
      <c r="I327" s="586" t="s">
        <v>378</v>
      </c>
      <c r="J327" s="233"/>
      <c r="K327" s="233"/>
      <c r="L327" s="233"/>
      <c r="M327" s="233"/>
      <c r="N327" s="233"/>
      <c r="O327" s="233"/>
      <c r="P327" s="233"/>
      <c r="Q327" s="233"/>
      <c r="R327" s="233"/>
      <c r="S327" s="233"/>
      <c r="T327" s="233"/>
      <c r="U327" s="233"/>
      <c r="V327" s="233"/>
      <c r="W327" s="233"/>
      <c r="X327" s="233"/>
      <c r="Y327" s="233"/>
      <c r="Z327" s="233"/>
      <c r="AA327" s="233"/>
      <c r="AB327" s="233"/>
      <c r="AC327" s="233"/>
      <c r="AD327" s="233"/>
    </row>
    <row r="328">
      <c r="A328" s="347"/>
      <c r="B328" s="323"/>
      <c r="C328" s="323"/>
      <c r="D328" s="323"/>
      <c r="E328" s="223"/>
      <c r="F328" s="348"/>
      <c r="G328" s="434"/>
      <c r="H328" s="567"/>
      <c r="I328" s="474" t="s">
        <v>379</v>
      </c>
      <c r="J328" s="233"/>
      <c r="K328" s="233"/>
      <c r="L328" s="233"/>
      <c r="M328" s="233"/>
      <c r="N328" s="233"/>
      <c r="O328" s="233"/>
      <c r="P328" s="233"/>
      <c r="Q328" s="233"/>
      <c r="R328" s="233"/>
      <c r="S328" s="233"/>
      <c r="T328" s="233"/>
      <c r="U328" s="233"/>
      <c r="V328" s="233"/>
      <c r="W328" s="233"/>
      <c r="X328" s="233"/>
      <c r="Y328" s="233"/>
      <c r="Z328" s="233"/>
      <c r="AA328" s="233"/>
      <c r="AB328" s="233"/>
      <c r="AC328" s="233"/>
      <c r="AD328" s="233"/>
    </row>
    <row r="329" ht="21.0" customHeight="1">
      <c r="A329" s="347"/>
      <c r="B329" s="394"/>
      <c r="C329" s="394" t="s">
        <v>59</v>
      </c>
      <c r="D329" s="394" t="s">
        <v>59</v>
      </c>
      <c r="E329" s="395"/>
      <c r="F329" s="396" t="s">
        <v>60</v>
      </c>
      <c r="G329" s="422">
        <f>ROUND((G300+G302+G307+G312+G317+G323+G326)/95*5,0)</f>
        <v>2043</v>
      </c>
      <c r="H329" s="579">
        <f>G329/$G$299</f>
        <v>0.0500085673</v>
      </c>
      <c r="I329" s="396" t="s">
        <v>164</v>
      </c>
      <c r="J329" s="424"/>
      <c r="K329" s="424"/>
      <c r="L329" s="424"/>
      <c r="M329" s="424"/>
      <c r="N329" s="424"/>
      <c r="O329" s="424"/>
      <c r="P329" s="424"/>
      <c r="Q329" s="424"/>
      <c r="R329" s="424"/>
      <c r="S329" s="424"/>
      <c r="T329" s="424"/>
      <c r="U329" s="424"/>
      <c r="V329" s="424"/>
      <c r="W329" s="424"/>
      <c r="X329" s="424"/>
      <c r="Y329" s="424"/>
      <c r="Z329" s="424"/>
      <c r="AA329" s="424"/>
      <c r="AB329" s="424"/>
      <c r="AC329" s="424"/>
      <c r="AD329" s="424"/>
    </row>
    <row r="330">
      <c r="A330" s="347"/>
      <c r="B330" s="323"/>
      <c r="C330" s="323"/>
      <c r="D330" s="323"/>
      <c r="E330" s="223"/>
      <c r="F330" s="348"/>
      <c r="G330" s="434"/>
      <c r="H330" s="337"/>
      <c r="I330" s="453"/>
      <c r="J330" s="233"/>
      <c r="K330" s="233"/>
      <c r="L330" s="233"/>
      <c r="M330" s="233"/>
      <c r="N330" s="233"/>
      <c r="O330" s="233"/>
      <c r="P330" s="233"/>
      <c r="Q330" s="233"/>
      <c r="R330" s="233"/>
      <c r="S330" s="233"/>
      <c r="T330" s="233"/>
      <c r="U330" s="233"/>
      <c r="V330" s="233"/>
      <c r="W330" s="233"/>
      <c r="X330" s="233"/>
      <c r="Y330" s="233"/>
      <c r="Z330" s="233"/>
      <c r="AA330" s="233"/>
      <c r="AB330" s="233"/>
      <c r="AC330" s="233"/>
      <c r="AD330" s="233"/>
    </row>
    <row r="331">
      <c r="A331" s="347"/>
      <c r="B331" s="333"/>
      <c r="C331" s="333"/>
      <c r="D331" s="333"/>
      <c r="E331" s="225"/>
      <c r="F331" s="336"/>
      <c r="G331" s="434"/>
      <c r="H331" s="337"/>
      <c r="I331" s="336"/>
      <c r="J331" s="233"/>
      <c r="K331" s="233"/>
      <c r="L331" s="233"/>
      <c r="M331" s="233"/>
      <c r="N331" s="233"/>
      <c r="O331" s="233"/>
      <c r="P331" s="233"/>
      <c r="Q331" s="233"/>
      <c r="R331" s="233"/>
      <c r="S331" s="233"/>
      <c r="T331" s="233"/>
      <c r="U331" s="233"/>
      <c r="V331" s="233"/>
      <c r="W331" s="233"/>
      <c r="X331" s="233"/>
      <c r="Y331" s="233"/>
      <c r="Z331" s="233"/>
      <c r="AA331" s="233"/>
      <c r="AB331" s="233"/>
      <c r="AC331" s="233"/>
      <c r="AD331" s="233"/>
    </row>
    <row r="332">
      <c r="A332" s="218"/>
      <c r="B332" s="323"/>
      <c r="C332" s="323"/>
      <c r="D332" s="323"/>
      <c r="E332" s="223"/>
      <c r="F332" s="348"/>
      <c r="G332" s="434"/>
      <c r="H332" s="371"/>
      <c r="I332" s="348"/>
      <c r="J332" s="374"/>
      <c r="K332" s="269"/>
      <c r="L332" s="269"/>
      <c r="M332" s="269"/>
      <c r="N332" s="269"/>
      <c r="O332" s="269"/>
      <c r="P332" s="269"/>
      <c r="Q332" s="269"/>
      <c r="R332" s="269"/>
      <c r="S332" s="269"/>
      <c r="T332" s="269"/>
      <c r="U332" s="269"/>
      <c r="V332" s="269"/>
      <c r="W332" s="269"/>
      <c r="X332" s="269"/>
      <c r="Y332" s="269"/>
      <c r="Z332" s="269"/>
      <c r="AA332" s="269"/>
      <c r="AB332" s="269"/>
      <c r="AC332" s="269"/>
      <c r="AD332" s="269"/>
    </row>
    <row r="333">
      <c r="A333" s="338" t="s">
        <v>49</v>
      </c>
      <c r="B333" s="339" t="s">
        <v>47</v>
      </c>
      <c r="C333" s="339" t="s">
        <v>47</v>
      </c>
      <c r="D333" s="339" t="s">
        <v>47</v>
      </c>
      <c r="E333" s="340"/>
      <c r="F333" s="341" t="s">
        <v>28</v>
      </c>
      <c r="G333" s="587">
        <f>G334</f>
        <v>118337</v>
      </c>
      <c r="H333" s="343">
        <f>G333/$G$6</f>
        <v>0.08476475775</v>
      </c>
      <c r="I333" s="341"/>
      <c r="J333" s="345"/>
      <c r="K333" s="346"/>
      <c r="L333" s="346"/>
      <c r="M333" s="346"/>
      <c r="N333" s="346"/>
      <c r="O333" s="346"/>
      <c r="P333" s="346"/>
      <c r="Q333" s="346"/>
      <c r="R333" s="346"/>
      <c r="S333" s="346"/>
      <c r="T333" s="346"/>
      <c r="U333" s="346"/>
      <c r="V333" s="346"/>
      <c r="W333" s="346"/>
      <c r="X333" s="346"/>
      <c r="Y333" s="346"/>
      <c r="Z333" s="346"/>
      <c r="AA333" s="346"/>
      <c r="AB333" s="346"/>
      <c r="AC333" s="346"/>
      <c r="AD333" s="346"/>
    </row>
    <row r="334">
      <c r="A334" s="350"/>
      <c r="B334" s="351" t="s">
        <v>46</v>
      </c>
      <c r="C334" s="351" t="s">
        <v>47</v>
      </c>
      <c r="D334" s="351" t="s">
        <v>47</v>
      </c>
      <c r="E334" s="352"/>
      <c r="F334" s="353" t="s">
        <v>29</v>
      </c>
      <c r="G334" s="421">
        <f>G335+G345+G349+G354</f>
        <v>118337</v>
      </c>
      <c r="H334" s="355">
        <f>G334/$G$333</f>
        <v>1</v>
      </c>
      <c r="I334" s="353"/>
      <c r="J334" s="357"/>
      <c r="K334" s="358"/>
      <c r="L334" s="358"/>
      <c r="M334" s="358"/>
      <c r="N334" s="358"/>
      <c r="O334" s="358"/>
      <c r="P334" s="358"/>
      <c r="Q334" s="358"/>
      <c r="R334" s="358"/>
      <c r="S334" s="358"/>
      <c r="T334" s="358"/>
      <c r="U334" s="358"/>
      <c r="V334" s="358"/>
      <c r="W334" s="358"/>
      <c r="X334" s="358"/>
      <c r="Y334" s="358"/>
      <c r="Z334" s="358"/>
      <c r="AA334" s="358"/>
      <c r="AB334" s="358"/>
      <c r="AC334" s="358"/>
      <c r="AD334" s="358"/>
    </row>
    <row r="335">
      <c r="A335" s="347"/>
      <c r="B335" s="393"/>
      <c r="C335" s="394" t="s">
        <v>47</v>
      </c>
      <c r="D335" s="394" t="s">
        <v>46</v>
      </c>
      <c r="E335" s="588"/>
      <c r="F335" s="396" t="s">
        <v>98</v>
      </c>
      <c r="G335" s="422">
        <f>SUM(G336:G344)</f>
        <v>100720</v>
      </c>
      <c r="H335" s="365">
        <f>G335/$G$334</f>
        <v>0.8511285566</v>
      </c>
      <c r="I335" s="366"/>
      <c r="J335" s="423"/>
      <c r="K335" s="424"/>
      <c r="L335" s="424"/>
      <c r="M335" s="424"/>
      <c r="N335" s="424"/>
      <c r="O335" s="424"/>
      <c r="P335" s="424"/>
      <c r="Q335" s="424"/>
      <c r="R335" s="424"/>
      <c r="S335" s="424"/>
      <c r="T335" s="424"/>
      <c r="U335" s="424"/>
      <c r="V335" s="424"/>
      <c r="W335" s="424"/>
      <c r="X335" s="424"/>
      <c r="Y335" s="424"/>
      <c r="Z335" s="424"/>
      <c r="AA335" s="424"/>
      <c r="AB335" s="424"/>
      <c r="AC335" s="424"/>
      <c r="AD335" s="424"/>
    </row>
    <row r="336">
      <c r="A336" s="347"/>
      <c r="B336" s="333"/>
      <c r="C336" s="333"/>
      <c r="D336" s="333"/>
      <c r="E336" s="225" t="s">
        <v>123</v>
      </c>
      <c r="F336" s="428" t="s">
        <v>124</v>
      </c>
      <c r="G336" s="589">
        <v>23000.0</v>
      </c>
      <c r="H336" s="371">
        <f t="shared" ref="H336:H344" si="35">G336/$G$335</f>
        <v>0.228355838</v>
      </c>
      <c r="I336" s="590" t="s">
        <v>380</v>
      </c>
      <c r="J336" s="337"/>
      <c r="K336" s="233"/>
      <c r="L336" s="233"/>
      <c r="M336" s="233"/>
      <c r="N336" s="233"/>
      <c r="O336" s="233"/>
      <c r="P336" s="233"/>
      <c r="Q336" s="233"/>
      <c r="R336" s="233"/>
      <c r="S336" s="233"/>
      <c r="T336" s="233"/>
      <c r="U336" s="233"/>
      <c r="V336" s="233"/>
      <c r="W336" s="233"/>
      <c r="X336" s="233"/>
      <c r="Y336" s="233"/>
      <c r="Z336" s="233"/>
      <c r="AA336" s="233"/>
      <c r="AB336" s="233"/>
      <c r="AC336" s="233"/>
      <c r="AD336" s="233"/>
    </row>
    <row r="337">
      <c r="A337" s="347"/>
      <c r="B337" s="333"/>
      <c r="C337" s="333"/>
      <c r="D337" s="333"/>
      <c r="E337" s="225" t="s">
        <v>188</v>
      </c>
      <c r="F337" s="336" t="s">
        <v>189</v>
      </c>
      <c r="G337" s="589">
        <v>30000.0</v>
      </c>
      <c r="H337" s="371">
        <f t="shared" si="35"/>
        <v>0.2978554408</v>
      </c>
      <c r="I337" s="348" t="s">
        <v>381</v>
      </c>
      <c r="J337" s="337"/>
      <c r="K337" s="233"/>
      <c r="L337" s="233"/>
      <c r="M337" s="233"/>
      <c r="N337" s="233"/>
      <c r="O337" s="233"/>
      <c r="P337" s="233"/>
      <c r="Q337" s="233"/>
      <c r="R337" s="233"/>
      <c r="S337" s="233"/>
      <c r="T337" s="233"/>
      <c r="U337" s="233"/>
      <c r="V337" s="233"/>
      <c r="W337" s="233"/>
      <c r="X337" s="233"/>
      <c r="Y337" s="233"/>
      <c r="Z337" s="233"/>
      <c r="AA337" s="233"/>
      <c r="AB337" s="233"/>
      <c r="AC337" s="233"/>
      <c r="AD337" s="233"/>
    </row>
    <row r="338">
      <c r="A338" s="347"/>
      <c r="B338" s="333"/>
      <c r="C338" s="333"/>
      <c r="D338" s="333"/>
      <c r="E338" s="225" t="s">
        <v>148</v>
      </c>
      <c r="F338" s="336" t="s">
        <v>122</v>
      </c>
      <c r="G338" s="589">
        <v>2500.0</v>
      </c>
      <c r="H338" s="371">
        <f t="shared" si="35"/>
        <v>0.02482128674</v>
      </c>
      <c r="I338" s="348" t="s">
        <v>382</v>
      </c>
      <c r="J338" s="337"/>
      <c r="K338" s="233"/>
      <c r="L338" s="233"/>
      <c r="M338" s="233"/>
      <c r="N338" s="233"/>
      <c r="O338" s="233"/>
      <c r="P338" s="233"/>
      <c r="Q338" s="233"/>
      <c r="R338" s="233"/>
      <c r="S338" s="233"/>
      <c r="T338" s="233"/>
      <c r="U338" s="233"/>
      <c r="V338" s="233"/>
      <c r="W338" s="233"/>
      <c r="X338" s="233"/>
      <c r="Y338" s="233"/>
      <c r="Z338" s="233"/>
      <c r="AA338" s="233"/>
      <c r="AB338" s="233"/>
      <c r="AC338" s="233"/>
      <c r="AD338" s="233"/>
    </row>
    <row r="339">
      <c r="A339" s="347"/>
      <c r="B339" s="333"/>
      <c r="C339" s="333"/>
      <c r="D339" s="333"/>
      <c r="E339" s="225" t="s">
        <v>126</v>
      </c>
      <c r="F339" s="336" t="s">
        <v>127</v>
      </c>
      <c r="G339" s="589">
        <v>17500.0</v>
      </c>
      <c r="H339" s="371">
        <f t="shared" si="35"/>
        <v>0.1737490071</v>
      </c>
      <c r="I339" s="348" t="s">
        <v>383</v>
      </c>
      <c r="J339" s="337"/>
      <c r="K339" s="233"/>
      <c r="L339" s="233"/>
      <c r="M339" s="233"/>
      <c r="N339" s="233"/>
      <c r="O339" s="233"/>
      <c r="P339" s="233"/>
      <c r="Q339" s="233"/>
      <c r="R339" s="233"/>
      <c r="S339" s="233"/>
      <c r="T339" s="233"/>
      <c r="U339" s="233"/>
      <c r="V339" s="233"/>
      <c r="W339" s="233"/>
      <c r="X339" s="233"/>
      <c r="Y339" s="233"/>
      <c r="Z339" s="233"/>
      <c r="AA339" s="233"/>
      <c r="AB339" s="233"/>
      <c r="AC339" s="233"/>
      <c r="AD339" s="233"/>
    </row>
    <row r="340">
      <c r="A340" s="347"/>
      <c r="B340" s="333"/>
      <c r="C340" s="333"/>
      <c r="D340" s="333"/>
      <c r="E340" s="225" t="s">
        <v>129</v>
      </c>
      <c r="F340" s="336" t="s">
        <v>130</v>
      </c>
      <c r="G340" s="591">
        <v>18000.0</v>
      </c>
      <c r="H340" s="371">
        <f t="shared" si="35"/>
        <v>0.1787132645</v>
      </c>
      <c r="I340" s="592" t="s">
        <v>384</v>
      </c>
      <c r="J340" s="337"/>
      <c r="K340" s="233"/>
      <c r="L340" s="233"/>
      <c r="M340" s="233"/>
      <c r="N340" s="233"/>
      <c r="O340" s="233"/>
      <c r="P340" s="233"/>
      <c r="Q340" s="233"/>
      <c r="R340" s="233"/>
      <c r="S340" s="233"/>
      <c r="T340" s="233"/>
      <c r="U340" s="233"/>
      <c r="V340" s="233"/>
      <c r="W340" s="233"/>
      <c r="X340" s="233"/>
      <c r="Y340" s="233"/>
      <c r="Z340" s="233"/>
      <c r="AA340" s="233"/>
      <c r="AB340" s="233"/>
      <c r="AC340" s="233"/>
      <c r="AD340" s="233"/>
    </row>
    <row r="341">
      <c r="A341" s="347"/>
      <c r="B341" s="333"/>
      <c r="C341" s="333"/>
      <c r="D341" s="333"/>
      <c r="E341" s="225" t="s">
        <v>167</v>
      </c>
      <c r="F341" s="336" t="s">
        <v>168</v>
      </c>
      <c r="G341" s="591">
        <v>1240.0</v>
      </c>
      <c r="H341" s="371">
        <f t="shared" si="35"/>
        <v>0.01231135822</v>
      </c>
      <c r="I341" s="348" t="s">
        <v>385</v>
      </c>
      <c r="J341" s="337"/>
      <c r="K341" s="233"/>
      <c r="L341" s="233"/>
      <c r="M341" s="233"/>
      <c r="N341" s="233"/>
      <c r="O341" s="233"/>
      <c r="P341" s="233"/>
      <c r="Q341" s="233"/>
      <c r="R341" s="233"/>
      <c r="S341" s="233"/>
      <c r="T341" s="233"/>
      <c r="U341" s="233"/>
      <c r="V341" s="233"/>
      <c r="W341" s="233"/>
      <c r="X341" s="233"/>
      <c r="Y341" s="233"/>
      <c r="Z341" s="233"/>
      <c r="AA341" s="233"/>
      <c r="AB341" s="233"/>
      <c r="AC341" s="233"/>
      <c r="AD341" s="233"/>
    </row>
    <row r="342">
      <c r="A342" s="347"/>
      <c r="B342" s="333"/>
      <c r="C342" s="333"/>
      <c r="D342" s="333"/>
      <c r="E342" s="225" t="s">
        <v>132</v>
      </c>
      <c r="F342" s="336" t="s">
        <v>133</v>
      </c>
      <c r="G342" s="593">
        <v>1500.0</v>
      </c>
      <c r="H342" s="371">
        <f t="shared" si="35"/>
        <v>0.01489277204</v>
      </c>
      <c r="I342" s="348" t="s">
        <v>386</v>
      </c>
      <c r="J342" s="337"/>
      <c r="K342" s="233"/>
      <c r="L342" s="233"/>
      <c r="M342" s="233"/>
      <c r="N342" s="233"/>
      <c r="O342" s="233"/>
      <c r="P342" s="233"/>
      <c r="Q342" s="233"/>
      <c r="R342" s="233"/>
      <c r="S342" s="233"/>
      <c r="T342" s="233"/>
      <c r="U342" s="233"/>
      <c r="V342" s="233"/>
      <c r="W342" s="233"/>
      <c r="X342" s="233"/>
      <c r="Y342" s="233"/>
      <c r="Z342" s="233"/>
      <c r="AA342" s="233"/>
      <c r="AB342" s="233"/>
      <c r="AC342" s="233"/>
      <c r="AD342" s="233"/>
    </row>
    <row r="343">
      <c r="A343" s="347"/>
      <c r="B343" s="333"/>
      <c r="C343" s="333"/>
      <c r="D343" s="333"/>
      <c r="E343" s="225" t="s">
        <v>140</v>
      </c>
      <c r="F343" s="336" t="s">
        <v>141</v>
      </c>
      <c r="G343" s="594">
        <v>6480.0</v>
      </c>
      <c r="H343" s="371">
        <f t="shared" si="35"/>
        <v>0.06433677522</v>
      </c>
      <c r="I343" s="348" t="s">
        <v>387</v>
      </c>
      <c r="J343" s="337"/>
      <c r="K343" s="233"/>
      <c r="L343" s="233"/>
      <c r="M343" s="233"/>
      <c r="N343" s="233"/>
      <c r="O343" s="233"/>
      <c r="P343" s="233"/>
      <c r="Q343" s="233"/>
      <c r="R343" s="233"/>
      <c r="S343" s="233"/>
      <c r="T343" s="233"/>
      <c r="U343" s="233"/>
      <c r="V343" s="233"/>
      <c r="W343" s="233"/>
      <c r="X343" s="233"/>
      <c r="Y343" s="233"/>
      <c r="Z343" s="233"/>
      <c r="AA343" s="233"/>
      <c r="AB343" s="233"/>
      <c r="AC343" s="233"/>
      <c r="AD343" s="233"/>
    </row>
    <row r="344">
      <c r="A344" s="347"/>
      <c r="B344" s="333"/>
      <c r="C344" s="333"/>
      <c r="D344" s="333"/>
      <c r="E344" s="225" t="s">
        <v>135</v>
      </c>
      <c r="F344" s="336" t="s">
        <v>136</v>
      </c>
      <c r="G344" s="594">
        <v>500.0</v>
      </c>
      <c r="H344" s="371">
        <f t="shared" si="35"/>
        <v>0.004964257347</v>
      </c>
      <c r="I344" s="348" t="s">
        <v>172</v>
      </c>
      <c r="J344" s="337"/>
      <c r="K344" s="233"/>
      <c r="L344" s="233"/>
      <c r="M344" s="233"/>
      <c r="N344" s="233"/>
      <c r="O344" s="233"/>
      <c r="P344" s="233"/>
      <c r="Q344" s="233"/>
      <c r="R344" s="233"/>
      <c r="S344" s="233"/>
      <c r="T344" s="233"/>
      <c r="U344" s="233"/>
      <c r="V344" s="233"/>
      <c r="W344" s="233"/>
      <c r="X344" s="233"/>
      <c r="Y344" s="233"/>
      <c r="Z344" s="233"/>
      <c r="AA344" s="233"/>
      <c r="AB344" s="233"/>
      <c r="AC344" s="233"/>
      <c r="AD344" s="233"/>
    </row>
    <row r="345">
      <c r="A345" s="347"/>
      <c r="B345" s="393"/>
      <c r="C345" s="394" t="s">
        <v>47</v>
      </c>
      <c r="D345" s="394" t="s">
        <v>49</v>
      </c>
      <c r="E345" s="588"/>
      <c r="F345" s="396" t="s">
        <v>99</v>
      </c>
      <c r="G345" s="422">
        <f>SUM(G346:G348)</f>
        <v>7800</v>
      </c>
      <c r="H345" s="365">
        <f>G345/$G$334</f>
        <v>0.06591345057</v>
      </c>
      <c r="I345" s="366"/>
      <c r="J345" s="423"/>
      <c r="K345" s="424"/>
      <c r="L345" s="424"/>
      <c r="M345" s="424"/>
      <c r="N345" s="424"/>
      <c r="O345" s="424"/>
      <c r="P345" s="424"/>
      <c r="Q345" s="424"/>
      <c r="R345" s="424"/>
      <c r="S345" s="424"/>
      <c r="T345" s="424"/>
      <c r="U345" s="424"/>
      <c r="V345" s="424"/>
      <c r="W345" s="424"/>
      <c r="X345" s="424"/>
      <c r="Y345" s="424"/>
      <c r="Z345" s="424"/>
      <c r="AA345" s="424"/>
      <c r="AB345" s="424"/>
      <c r="AC345" s="424"/>
      <c r="AD345" s="424"/>
    </row>
    <row r="346">
      <c r="A346" s="347"/>
      <c r="B346" s="333"/>
      <c r="C346" s="333"/>
      <c r="D346" s="333"/>
      <c r="E346" s="225" t="s">
        <v>123</v>
      </c>
      <c r="F346" s="336" t="s">
        <v>124</v>
      </c>
      <c r="G346" s="595">
        <v>6300.0</v>
      </c>
      <c r="H346" s="371">
        <f t="shared" ref="H346:H348" si="36">G346/$G$345</f>
        <v>0.8076923077</v>
      </c>
      <c r="I346" s="348" t="s">
        <v>388</v>
      </c>
      <c r="J346" s="337"/>
      <c r="K346" s="233"/>
      <c r="L346" s="233"/>
      <c r="M346" s="233"/>
      <c r="N346" s="233"/>
      <c r="O346" s="233"/>
      <c r="P346" s="233"/>
      <c r="Q346" s="233"/>
      <c r="R346" s="233"/>
      <c r="S346" s="233"/>
      <c r="T346" s="233"/>
      <c r="U346" s="233"/>
      <c r="V346" s="233"/>
      <c r="W346" s="233"/>
      <c r="X346" s="233"/>
      <c r="Y346" s="233"/>
      <c r="Z346" s="233"/>
      <c r="AA346" s="233"/>
      <c r="AB346" s="233"/>
      <c r="AC346" s="233"/>
      <c r="AD346" s="233"/>
    </row>
    <row r="347">
      <c r="A347" s="347"/>
      <c r="B347" s="333"/>
      <c r="C347" s="333"/>
      <c r="D347" s="333"/>
      <c r="E347" s="225" t="s">
        <v>129</v>
      </c>
      <c r="F347" s="336" t="s">
        <v>130</v>
      </c>
      <c r="G347" s="596">
        <v>1000.0</v>
      </c>
      <c r="H347" s="371">
        <f t="shared" si="36"/>
        <v>0.1282051282</v>
      </c>
      <c r="I347" s="348" t="s">
        <v>389</v>
      </c>
      <c r="J347" s="337"/>
      <c r="K347" s="233"/>
      <c r="L347" s="233"/>
      <c r="M347" s="233"/>
      <c r="N347" s="233"/>
      <c r="O347" s="233"/>
      <c r="P347" s="233"/>
      <c r="Q347" s="233"/>
      <c r="R347" s="233"/>
      <c r="S347" s="233"/>
      <c r="T347" s="233"/>
      <c r="U347" s="233"/>
      <c r="V347" s="233"/>
      <c r="W347" s="233"/>
      <c r="X347" s="233"/>
      <c r="Y347" s="233"/>
      <c r="Z347" s="233"/>
      <c r="AA347" s="233"/>
      <c r="AB347" s="233"/>
      <c r="AC347" s="233"/>
      <c r="AD347" s="233"/>
    </row>
    <row r="348">
      <c r="A348" s="347"/>
      <c r="B348" s="333"/>
      <c r="C348" s="333"/>
      <c r="D348" s="333"/>
      <c r="E348" s="225" t="s">
        <v>135</v>
      </c>
      <c r="F348" s="336" t="s">
        <v>136</v>
      </c>
      <c r="G348" s="594">
        <v>500.0</v>
      </c>
      <c r="H348" s="371">
        <f t="shared" si="36"/>
        <v>0.0641025641</v>
      </c>
      <c r="I348" s="348" t="s">
        <v>172</v>
      </c>
      <c r="J348" s="337"/>
      <c r="K348" s="233"/>
      <c r="L348" s="233"/>
      <c r="M348" s="233"/>
      <c r="N348" s="233"/>
      <c r="O348" s="233"/>
      <c r="P348" s="233"/>
      <c r="Q348" s="233"/>
      <c r="R348" s="233"/>
      <c r="S348" s="233"/>
      <c r="T348" s="233"/>
      <c r="U348" s="233"/>
      <c r="V348" s="233"/>
      <c r="W348" s="233"/>
      <c r="X348" s="233"/>
      <c r="Y348" s="233"/>
      <c r="Z348" s="233"/>
      <c r="AA348" s="233"/>
      <c r="AB348" s="233"/>
      <c r="AC348" s="233"/>
      <c r="AD348" s="233"/>
    </row>
    <row r="349">
      <c r="A349" s="597"/>
      <c r="B349" s="393"/>
      <c r="C349" s="394"/>
      <c r="D349" s="394" t="s">
        <v>51</v>
      </c>
      <c r="E349" s="588"/>
      <c r="F349" s="396" t="s">
        <v>390</v>
      </c>
      <c r="G349" s="422">
        <f>SUM(G350:G353)</f>
        <v>3900</v>
      </c>
      <c r="H349" s="365">
        <f>G349/$G$334</f>
        <v>0.03295672528</v>
      </c>
      <c r="I349" s="366"/>
      <c r="J349" s="423"/>
      <c r="K349" s="424"/>
      <c r="L349" s="424"/>
      <c r="M349" s="424"/>
      <c r="N349" s="424"/>
      <c r="O349" s="424"/>
      <c r="P349" s="424"/>
      <c r="Q349" s="424"/>
      <c r="R349" s="424"/>
      <c r="S349" s="424"/>
      <c r="T349" s="424"/>
      <c r="U349" s="424"/>
      <c r="V349" s="424"/>
      <c r="W349" s="424"/>
      <c r="X349" s="424"/>
      <c r="Y349" s="424"/>
      <c r="Z349" s="424"/>
      <c r="AA349" s="424"/>
      <c r="AB349" s="424"/>
      <c r="AC349" s="424"/>
      <c r="AD349" s="424"/>
    </row>
    <row r="350">
      <c r="A350" s="347"/>
      <c r="B350" s="333"/>
      <c r="C350" s="333"/>
      <c r="D350" s="333"/>
      <c r="E350" s="225" t="s">
        <v>129</v>
      </c>
      <c r="F350" s="336" t="s">
        <v>130</v>
      </c>
      <c r="G350" s="520">
        <v>1500.0</v>
      </c>
      <c r="H350" s="371">
        <f t="shared" ref="H350:H353" si="37">G350/$G$349</f>
        <v>0.3846153846</v>
      </c>
      <c r="I350" s="598" t="s">
        <v>391</v>
      </c>
      <c r="J350" s="337"/>
      <c r="K350" s="233"/>
      <c r="L350" s="233"/>
      <c r="M350" s="233"/>
      <c r="N350" s="233"/>
      <c r="O350" s="233"/>
      <c r="P350" s="233"/>
      <c r="Q350" s="233"/>
      <c r="R350" s="233"/>
      <c r="S350" s="233"/>
      <c r="T350" s="233"/>
      <c r="U350" s="233"/>
      <c r="V350" s="233"/>
      <c r="W350" s="233"/>
      <c r="X350" s="233"/>
      <c r="Y350" s="233"/>
      <c r="Z350" s="233"/>
      <c r="AA350" s="233"/>
      <c r="AB350" s="233"/>
      <c r="AC350" s="233"/>
      <c r="AD350" s="233"/>
    </row>
    <row r="351">
      <c r="A351" s="347"/>
      <c r="B351" s="333"/>
      <c r="C351" s="333"/>
      <c r="D351" s="333"/>
      <c r="E351" s="225" t="s">
        <v>132</v>
      </c>
      <c r="F351" s="336" t="s">
        <v>133</v>
      </c>
      <c r="G351" s="520">
        <v>1000.0</v>
      </c>
      <c r="H351" s="371">
        <f t="shared" si="37"/>
        <v>0.2564102564</v>
      </c>
      <c r="I351" s="598" t="s">
        <v>392</v>
      </c>
      <c r="J351" s="337"/>
      <c r="K351" s="233"/>
      <c r="L351" s="233"/>
      <c r="M351" s="233"/>
      <c r="N351" s="233"/>
      <c r="O351" s="233"/>
      <c r="P351" s="233"/>
      <c r="Q351" s="233"/>
      <c r="R351" s="233"/>
      <c r="S351" s="233"/>
      <c r="T351" s="233"/>
      <c r="U351" s="233"/>
      <c r="V351" s="233"/>
      <c r="W351" s="233"/>
      <c r="X351" s="233"/>
      <c r="Y351" s="233"/>
      <c r="Z351" s="233"/>
      <c r="AA351" s="233"/>
      <c r="AB351" s="233"/>
      <c r="AC351" s="233"/>
      <c r="AD351" s="233"/>
    </row>
    <row r="352">
      <c r="A352" s="347"/>
      <c r="B352" s="333"/>
      <c r="C352" s="333"/>
      <c r="D352" s="333"/>
      <c r="E352" s="225" t="s">
        <v>285</v>
      </c>
      <c r="F352" s="336" t="s">
        <v>286</v>
      </c>
      <c r="G352" s="448">
        <v>1200.0</v>
      </c>
      <c r="H352" s="371">
        <f t="shared" si="37"/>
        <v>0.3076923077</v>
      </c>
      <c r="I352" s="348" t="s">
        <v>393</v>
      </c>
      <c r="J352" s="337"/>
      <c r="K352" s="233"/>
      <c r="L352" s="233"/>
      <c r="M352" s="233"/>
      <c r="N352" s="233"/>
      <c r="O352" s="233"/>
      <c r="P352" s="233"/>
      <c r="Q352" s="233"/>
      <c r="R352" s="233"/>
      <c r="S352" s="233"/>
      <c r="T352" s="233"/>
      <c r="U352" s="233"/>
      <c r="V352" s="233"/>
      <c r="W352" s="233"/>
      <c r="X352" s="233"/>
      <c r="Y352" s="233"/>
      <c r="Z352" s="233"/>
      <c r="AA352" s="233"/>
      <c r="AB352" s="233"/>
      <c r="AC352" s="233"/>
      <c r="AD352" s="233"/>
    </row>
    <row r="353">
      <c r="A353" s="347"/>
      <c r="B353" s="333"/>
      <c r="C353" s="333"/>
      <c r="D353" s="333"/>
      <c r="E353" s="225" t="s">
        <v>320</v>
      </c>
      <c r="F353" s="428" t="s">
        <v>321</v>
      </c>
      <c r="G353" s="448">
        <v>200.0</v>
      </c>
      <c r="H353" s="371">
        <f t="shared" si="37"/>
        <v>0.05128205128</v>
      </c>
      <c r="I353" s="348" t="s">
        <v>394</v>
      </c>
      <c r="J353" s="337"/>
      <c r="K353" s="233"/>
      <c r="L353" s="233"/>
      <c r="M353" s="233"/>
      <c r="N353" s="233"/>
      <c r="O353" s="233"/>
      <c r="P353" s="233"/>
      <c r="Q353" s="233"/>
      <c r="R353" s="233"/>
      <c r="S353" s="233"/>
      <c r="T353" s="233"/>
      <c r="U353" s="233"/>
      <c r="V353" s="233"/>
      <c r="W353" s="233"/>
      <c r="X353" s="233"/>
      <c r="Y353" s="233"/>
      <c r="Z353" s="233"/>
      <c r="AA353" s="233"/>
      <c r="AB353" s="233"/>
      <c r="AC353" s="233"/>
      <c r="AD353" s="233"/>
    </row>
    <row r="354">
      <c r="A354" s="347"/>
      <c r="B354" s="393"/>
      <c r="C354" s="393" t="s">
        <v>59</v>
      </c>
      <c r="D354" s="393" t="s">
        <v>59</v>
      </c>
      <c r="E354" s="588"/>
      <c r="F354" s="599" t="s">
        <v>60</v>
      </c>
      <c r="G354" s="600">
        <f>ROUND((G335+G345+G349)/95*5,0)</f>
        <v>5917</v>
      </c>
      <c r="H354" s="365">
        <f>G354/G333</f>
        <v>0.05000126757</v>
      </c>
      <c r="I354" s="396" t="s">
        <v>164</v>
      </c>
      <c r="J354" s="423"/>
      <c r="K354" s="424"/>
      <c r="L354" s="424"/>
      <c r="M354" s="424"/>
      <c r="N354" s="424"/>
      <c r="O354" s="424"/>
      <c r="P354" s="424"/>
      <c r="Q354" s="424"/>
      <c r="R354" s="424"/>
      <c r="S354" s="424"/>
      <c r="T354" s="424"/>
      <c r="U354" s="424"/>
      <c r="V354" s="424"/>
      <c r="W354" s="424"/>
      <c r="X354" s="424"/>
      <c r="Y354" s="424"/>
      <c r="Z354" s="424"/>
      <c r="AA354" s="424"/>
      <c r="AB354" s="424"/>
      <c r="AC354" s="424"/>
      <c r="AD354" s="424"/>
    </row>
    <row r="355">
      <c r="A355" s="347"/>
      <c r="B355" s="333"/>
      <c r="C355" s="333"/>
      <c r="D355" s="333"/>
      <c r="E355" s="225"/>
      <c r="F355" s="428"/>
      <c r="G355" s="601"/>
      <c r="H355" s="602"/>
      <c r="I355" s="453"/>
      <c r="J355" s="337"/>
      <c r="K355" s="233"/>
      <c r="L355" s="233"/>
      <c r="M355" s="233"/>
      <c r="N355" s="233"/>
      <c r="O355" s="233"/>
      <c r="P355" s="233"/>
      <c r="Q355" s="233"/>
      <c r="R355" s="233"/>
      <c r="S355" s="233"/>
      <c r="T355" s="233"/>
      <c r="U355" s="233"/>
      <c r="V355" s="233"/>
      <c r="W355" s="233"/>
      <c r="X355" s="233"/>
      <c r="Y355" s="233"/>
      <c r="Z355" s="233"/>
      <c r="AA355" s="233"/>
      <c r="AB355" s="233"/>
      <c r="AC355" s="233"/>
      <c r="AD355" s="233"/>
    </row>
    <row r="356">
      <c r="A356" s="347"/>
      <c r="B356" s="333"/>
      <c r="C356" s="333"/>
      <c r="D356" s="333"/>
      <c r="E356" s="225"/>
      <c r="F356" s="336"/>
      <c r="G356" s="448"/>
      <c r="H356" s="603"/>
      <c r="I356" s="453"/>
      <c r="J356" s="337"/>
      <c r="K356" s="233"/>
      <c r="L356" s="233"/>
      <c r="M356" s="233"/>
      <c r="N356" s="233"/>
      <c r="O356" s="233"/>
      <c r="P356" s="233"/>
      <c r="Q356" s="233"/>
      <c r="R356" s="233"/>
      <c r="S356" s="233"/>
      <c r="T356" s="233"/>
      <c r="U356" s="233"/>
      <c r="V356" s="233"/>
      <c r="W356" s="233"/>
      <c r="X356" s="233"/>
      <c r="Y356" s="233"/>
      <c r="Z356" s="233"/>
      <c r="AA356" s="233"/>
      <c r="AB356" s="233"/>
      <c r="AC356" s="233"/>
      <c r="AD356" s="233"/>
    </row>
    <row r="357">
      <c r="A357" s="347"/>
      <c r="B357" s="333"/>
      <c r="C357" s="333"/>
      <c r="D357" s="333"/>
      <c r="E357" s="225"/>
      <c r="F357" s="428"/>
      <c r="G357" s="448"/>
      <c r="H357" s="603"/>
      <c r="I357" s="336"/>
      <c r="J357" s="337"/>
      <c r="K357" s="233"/>
      <c r="L357" s="233"/>
      <c r="M357" s="233"/>
      <c r="N357" s="233"/>
      <c r="O357" s="233"/>
      <c r="P357" s="233"/>
      <c r="Q357" s="233"/>
      <c r="R357" s="233"/>
      <c r="S357" s="233"/>
      <c r="T357" s="233"/>
      <c r="U357" s="233"/>
      <c r="V357" s="233"/>
      <c r="W357" s="233"/>
      <c r="X357" s="233"/>
      <c r="Y357" s="233"/>
      <c r="Z357" s="233"/>
      <c r="AA357" s="233"/>
      <c r="AB357" s="233"/>
      <c r="AC357" s="233"/>
      <c r="AD357" s="233"/>
    </row>
    <row r="358">
      <c r="A358" s="338" t="s">
        <v>51</v>
      </c>
      <c r="B358" s="339" t="s">
        <v>47</v>
      </c>
      <c r="C358" s="339" t="s">
        <v>47</v>
      </c>
      <c r="D358" s="339" t="s">
        <v>47</v>
      </c>
      <c r="E358" s="340"/>
      <c r="F358" s="341" t="s">
        <v>30</v>
      </c>
      <c r="G358" s="604">
        <f>G359</f>
        <v>93831.57895</v>
      </c>
      <c r="H358" s="343">
        <f>G358/$G$6</f>
        <v>0.06721153197</v>
      </c>
      <c r="I358" s="341"/>
      <c r="J358" s="345"/>
      <c r="K358" s="346"/>
      <c r="L358" s="346"/>
      <c r="M358" s="346"/>
      <c r="N358" s="346"/>
      <c r="O358" s="346"/>
      <c r="P358" s="346"/>
      <c r="Q358" s="346"/>
      <c r="R358" s="346"/>
      <c r="S358" s="346"/>
      <c r="T358" s="346"/>
      <c r="U358" s="346"/>
      <c r="V358" s="346"/>
      <c r="W358" s="346"/>
      <c r="X358" s="346"/>
      <c r="Y358" s="346"/>
      <c r="Z358" s="346"/>
      <c r="AA358" s="346"/>
      <c r="AB358" s="346"/>
      <c r="AC358" s="346"/>
      <c r="AD358" s="346"/>
    </row>
    <row r="359">
      <c r="A359" s="350"/>
      <c r="B359" s="351" t="s">
        <v>46</v>
      </c>
      <c r="C359" s="351" t="s">
        <v>47</v>
      </c>
      <c r="D359" s="351" t="s">
        <v>47</v>
      </c>
      <c r="E359" s="352"/>
      <c r="F359" s="353" t="s">
        <v>31</v>
      </c>
      <c r="G359" s="455">
        <f>G360+G370</f>
        <v>93831.57895</v>
      </c>
      <c r="H359" s="355">
        <f>G359/$G$358</f>
        <v>1</v>
      </c>
      <c r="I359" s="353"/>
      <c r="J359" s="357"/>
      <c r="K359" s="358"/>
      <c r="L359" s="358"/>
      <c r="M359" s="358"/>
      <c r="N359" s="358"/>
      <c r="O359" s="358"/>
      <c r="P359" s="358"/>
      <c r="Q359" s="358"/>
      <c r="R359" s="358"/>
      <c r="S359" s="358"/>
      <c r="T359" s="358"/>
      <c r="U359" s="358"/>
      <c r="V359" s="358"/>
      <c r="W359" s="358"/>
      <c r="X359" s="358"/>
      <c r="Y359" s="358"/>
      <c r="Z359" s="358"/>
      <c r="AA359" s="358"/>
      <c r="AB359" s="358"/>
      <c r="AC359" s="358"/>
      <c r="AD359" s="358"/>
    </row>
    <row r="360">
      <c r="A360" s="347"/>
      <c r="B360" s="394"/>
      <c r="C360" s="394" t="s">
        <v>47</v>
      </c>
      <c r="D360" s="394" t="s">
        <v>46</v>
      </c>
      <c r="E360" s="395"/>
      <c r="F360" s="396" t="s">
        <v>101</v>
      </c>
      <c r="G360" s="605">
        <f>G361+G362+G363+G364+G365+G366+G367+G368+G369</f>
        <v>89140</v>
      </c>
      <c r="H360" s="365">
        <f>G360/$G$359</f>
        <v>0.95</v>
      </c>
      <c r="I360" s="396"/>
      <c r="J360" s="411"/>
      <c r="K360" s="412"/>
      <c r="L360" s="412"/>
      <c r="M360" s="412"/>
      <c r="N360" s="412"/>
      <c r="O360" s="412"/>
      <c r="P360" s="412"/>
      <c r="Q360" s="412"/>
      <c r="R360" s="412"/>
      <c r="S360" s="412"/>
      <c r="T360" s="412"/>
      <c r="U360" s="412"/>
      <c r="V360" s="412"/>
      <c r="W360" s="412"/>
      <c r="X360" s="412"/>
      <c r="Y360" s="412"/>
      <c r="Z360" s="412"/>
      <c r="AA360" s="412"/>
      <c r="AB360" s="412"/>
      <c r="AC360" s="412"/>
      <c r="AD360" s="412"/>
    </row>
    <row r="361">
      <c r="A361" s="347"/>
      <c r="B361" s="323"/>
      <c r="C361" s="323"/>
      <c r="D361" s="323"/>
      <c r="E361" s="223" t="s">
        <v>395</v>
      </c>
      <c r="F361" s="348" t="s">
        <v>396</v>
      </c>
      <c r="G361" s="539">
        <v>38700.0</v>
      </c>
      <c r="H361" s="371">
        <f t="shared" ref="H361:H369" si="38">G361/$G$360</f>
        <v>0.4341485304</v>
      </c>
      <c r="I361" s="606" t="s">
        <v>397</v>
      </c>
      <c r="J361" s="374"/>
      <c r="K361" s="269"/>
      <c r="L361" s="269"/>
      <c r="M361" s="269"/>
      <c r="N361" s="269"/>
      <c r="O361" s="269"/>
      <c r="P361" s="269"/>
      <c r="Q361" s="269"/>
      <c r="R361" s="269"/>
      <c r="S361" s="269"/>
      <c r="T361" s="269"/>
      <c r="U361" s="269"/>
      <c r="V361" s="269"/>
      <c r="W361" s="269"/>
      <c r="X361" s="269"/>
      <c r="Y361" s="269"/>
      <c r="Z361" s="269"/>
      <c r="AA361" s="269"/>
      <c r="AB361" s="269"/>
      <c r="AC361" s="269"/>
      <c r="AD361" s="269"/>
    </row>
    <row r="362">
      <c r="A362" s="347"/>
      <c r="B362" s="323"/>
      <c r="C362" s="323"/>
      <c r="D362" s="323"/>
      <c r="E362" s="223" t="s">
        <v>398</v>
      </c>
      <c r="F362" s="348" t="s">
        <v>399</v>
      </c>
      <c r="G362" s="539">
        <v>24500.0</v>
      </c>
      <c r="H362" s="371">
        <f t="shared" si="38"/>
        <v>0.2748485528</v>
      </c>
      <c r="I362" s="607" t="s">
        <v>400</v>
      </c>
      <c r="J362" s="374"/>
      <c r="K362" s="269"/>
      <c r="L362" s="269"/>
      <c r="M362" s="269"/>
      <c r="N362" s="269"/>
      <c r="O362" s="269"/>
      <c r="P362" s="269"/>
      <c r="Q362" s="269"/>
      <c r="R362" s="269"/>
      <c r="S362" s="269"/>
      <c r="T362" s="269"/>
      <c r="U362" s="269"/>
      <c r="V362" s="269"/>
      <c r="W362" s="269"/>
      <c r="X362" s="269"/>
      <c r="Y362" s="269"/>
      <c r="Z362" s="269"/>
      <c r="AA362" s="269"/>
      <c r="AB362" s="269"/>
      <c r="AC362" s="269"/>
      <c r="AD362" s="269"/>
    </row>
    <row r="363">
      <c r="A363" s="347"/>
      <c r="B363" s="323"/>
      <c r="C363" s="323"/>
      <c r="D363" s="323"/>
      <c r="E363" s="223" t="s">
        <v>401</v>
      </c>
      <c r="F363" s="348" t="s">
        <v>402</v>
      </c>
      <c r="G363" s="539">
        <v>6000.0</v>
      </c>
      <c r="H363" s="371">
        <f t="shared" si="38"/>
        <v>0.06730984967</v>
      </c>
      <c r="I363" s="606" t="s">
        <v>403</v>
      </c>
      <c r="J363" s="374"/>
      <c r="K363" s="269"/>
      <c r="L363" s="269"/>
      <c r="M363" s="269"/>
      <c r="N363" s="269"/>
      <c r="O363" s="269"/>
      <c r="P363" s="269"/>
      <c r="Q363" s="269"/>
      <c r="R363" s="269"/>
      <c r="S363" s="269"/>
      <c r="T363" s="269"/>
      <c r="U363" s="269"/>
      <c r="V363" s="269"/>
      <c r="W363" s="269"/>
      <c r="X363" s="269"/>
      <c r="Y363" s="269"/>
      <c r="Z363" s="269"/>
      <c r="AA363" s="269"/>
      <c r="AB363" s="269"/>
      <c r="AC363" s="269"/>
      <c r="AD363" s="269"/>
    </row>
    <row r="364">
      <c r="A364" s="347"/>
      <c r="B364" s="323"/>
      <c r="C364" s="323"/>
      <c r="D364" s="323"/>
      <c r="E364" s="223" t="s">
        <v>404</v>
      </c>
      <c r="F364" s="348" t="s">
        <v>405</v>
      </c>
      <c r="G364" s="539">
        <v>5000.0</v>
      </c>
      <c r="H364" s="371">
        <f t="shared" si="38"/>
        <v>0.0560915414</v>
      </c>
      <c r="I364" s="606" t="s">
        <v>406</v>
      </c>
      <c r="J364" s="374"/>
      <c r="K364" s="269"/>
      <c r="L364" s="269"/>
      <c r="M364" s="269"/>
      <c r="N364" s="269"/>
      <c r="O364" s="269"/>
      <c r="P364" s="269"/>
      <c r="Q364" s="269"/>
      <c r="R364" s="269"/>
      <c r="S364" s="269"/>
      <c r="T364" s="269"/>
      <c r="U364" s="269"/>
      <c r="V364" s="269"/>
      <c r="W364" s="269"/>
      <c r="X364" s="269"/>
      <c r="Y364" s="269"/>
      <c r="Z364" s="269"/>
      <c r="AA364" s="269"/>
      <c r="AB364" s="269"/>
      <c r="AC364" s="269"/>
      <c r="AD364" s="269"/>
    </row>
    <row r="365">
      <c r="A365" s="347"/>
      <c r="B365" s="323"/>
      <c r="C365" s="323"/>
      <c r="D365" s="323"/>
      <c r="E365" s="223" t="s">
        <v>407</v>
      </c>
      <c r="F365" s="348" t="s">
        <v>408</v>
      </c>
      <c r="G365" s="608">
        <v>2500.0</v>
      </c>
      <c r="H365" s="371">
        <f t="shared" si="38"/>
        <v>0.0280457707</v>
      </c>
      <c r="I365" s="607" t="s">
        <v>409</v>
      </c>
      <c r="J365" s="374"/>
      <c r="K365" s="269"/>
      <c r="L365" s="269"/>
      <c r="M365" s="269"/>
      <c r="N365" s="269"/>
      <c r="O365" s="269"/>
      <c r="P365" s="269"/>
      <c r="Q365" s="269"/>
      <c r="R365" s="269"/>
      <c r="S365" s="269"/>
      <c r="T365" s="269"/>
      <c r="U365" s="269"/>
      <c r="V365" s="269"/>
      <c r="W365" s="269"/>
      <c r="X365" s="269"/>
      <c r="Y365" s="269"/>
      <c r="Z365" s="269"/>
      <c r="AA365" s="269"/>
      <c r="AB365" s="269"/>
      <c r="AC365" s="269"/>
      <c r="AD365" s="269"/>
    </row>
    <row r="366">
      <c r="A366" s="347"/>
      <c r="B366" s="323"/>
      <c r="C366" s="323"/>
      <c r="D366" s="323"/>
      <c r="E366" s="223" t="s">
        <v>126</v>
      </c>
      <c r="F366" s="348" t="s">
        <v>127</v>
      </c>
      <c r="G366" s="608">
        <v>5500.0</v>
      </c>
      <c r="H366" s="371">
        <f t="shared" si="38"/>
        <v>0.06170069554</v>
      </c>
      <c r="I366" s="606" t="s">
        <v>410</v>
      </c>
      <c r="J366" s="374"/>
      <c r="K366" s="269"/>
      <c r="L366" s="269"/>
      <c r="M366" s="269"/>
      <c r="N366" s="269"/>
      <c r="O366" s="269"/>
      <c r="P366" s="269"/>
      <c r="Q366" s="269"/>
      <c r="R366" s="269"/>
      <c r="S366" s="269"/>
      <c r="T366" s="269"/>
      <c r="U366" s="269"/>
      <c r="V366" s="269"/>
      <c r="W366" s="269"/>
      <c r="X366" s="269"/>
      <c r="Y366" s="269"/>
      <c r="Z366" s="269"/>
      <c r="AA366" s="269"/>
      <c r="AB366" s="269"/>
      <c r="AC366" s="269"/>
      <c r="AD366" s="269"/>
    </row>
    <row r="367">
      <c r="A367" s="347"/>
      <c r="B367" s="323"/>
      <c r="C367" s="323"/>
      <c r="D367" s="323"/>
      <c r="E367" s="223" t="s">
        <v>129</v>
      </c>
      <c r="F367" s="348" t="s">
        <v>130</v>
      </c>
      <c r="G367" s="608">
        <v>4640.0</v>
      </c>
      <c r="H367" s="371">
        <f t="shared" si="38"/>
        <v>0.05205295042</v>
      </c>
      <c r="I367" s="607" t="s">
        <v>411</v>
      </c>
      <c r="J367" s="374"/>
      <c r="K367" s="269"/>
      <c r="L367" s="269"/>
      <c r="M367" s="269"/>
      <c r="N367" s="269"/>
      <c r="O367" s="269"/>
      <c r="P367" s="269"/>
      <c r="Q367" s="269"/>
      <c r="R367" s="269"/>
      <c r="S367" s="269"/>
      <c r="T367" s="269"/>
      <c r="U367" s="269"/>
      <c r="V367" s="269"/>
      <c r="W367" s="269"/>
      <c r="X367" s="269"/>
      <c r="Y367" s="269"/>
      <c r="Z367" s="269"/>
      <c r="AA367" s="269"/>
      <c r="AB367" s="269"/>
      <c r="AC367" s="269"/>
      <c r="AD367" s="269"/>
    </row>
    <row r="368">
      <c r="A368" s="347"/>
      <c r="B368" s="323"/>
      <c r="C368" s="323"/>
      <c r="D368" s="323"/>
      <c r="E368" s="223" t="s">
        <v>132</v>
      </c>
      <c r="F368" s="348" t="s">
        <v>133</v>
      </c>
      <c r="G368" s="608">
        <v>700.0</v>
      </c>
      <c r="H368" s="371">
        <f t="shared" si="38"/>
        <v>0.007852815795</v>
      </c>
      <c r="I368" s="607" t="s">
        <v>412</v>
      </c>
      <c r="J368" s="374"/>
      <c r="K368" s="269"/>
      <c r="L368" s="269"/>
      <c r="M368" s="269"/>
      <c r="N368" s="269"/>
      <c r="O368" s="269"/>
      <c r="P368" s="269"/>
      <c r="Q368" s="269"/>
      <c r="R368" s="269"/>
      <c r="S368" s="269"/>
      <c r="T368" s="269"/>
      <c r="U368" s="269"/>
      <c r="V368" s="269"/>
      <c r="W368" s="269"/>
      <c r="X368" s="269"/>
      <c r="Y368" s="269"/>
      <c r="Z368" s="269"/>
      <c r="AA368" s="269"/>
      <c r="AB368" s="269"/>
      <c r="AC368" s="269"/>
      <c r="AD368" s="269"/>
    </row>
    <row r="369">
      <c r="A369" s="347"/>
      <c r="B369" s="323"/>
      <c r="C369" s="323"/>
      <c r="D369" s="323"/>
      <c r="E369" s="223" t="s">
        <v>261</v>
      </c>
      <c r="F369" s="348" t="s">
        <v>262</v>
      </c>
      <c r="G369" s="609">
        <v>1600.0</v>
      </c>
      <c r="H369" s="371">
        <f t="shared" si="38"/>
        <v>0.01794929325</v>
      </c>
      <c r="I369" s="606" t="s">
        <v>413</v>
      </c>
      <c r="J369" s="374"/>
      <c r="K369" s="269"/>
      <c r="L369" s="269"/>
      <c r="M369" s="269"/>
      <c r="N369" s="269"/>
      <c r="O369" s="269"/>
      <c r="P369" s="269"/>
      <c r="Q369" s="269"/>
      <c r="R369" s="269"/>
      <c r="S369" s="269"/>
      <c r="T369" s="269"/>
      <c r="U369" s="269"/>
      <c r="V369" s="269"/>
      <c r="W369" s="269"/>
      <c r="X369" s="269"/>
      <c r="Y369" s="269"/>
      <c r="Z369" s="269"/>
      <c r="AA369" s="269"/>
      <c r="AB369" s="269"/>
      <c r="AC369" s="269"/>
      <c r="AD369" s="269"/>
    </row>
    <row r="370">
      <c r="A370" s="347"/>
      <c r="B370" s="394"/>
      <c r="C370" s="394" t="s">
        <v>59</v>
      </c>
      <c r="D370" s="394" t="s">
        <v>59</v>
      </c>
      <c r="E370" s="395"/>
      <c r="F370" s="396" t="s">
        <v>60</v>
      </c>
      <c r="G370" s="422">
        <f>(G360)/0.95*0.05</f>
        <v>4691.578947</v>
      </c>
      <c r="H370" s="365">
        <f>G370/$G$359</f>
        <v>0.05</v>
      </c>
      <c r="I370" s="610" t="s">
        <v>164</v>
      </c>
      <c r="J370" s="411"/>
      <c r="K370" s="412"/>
      <c r="L370" s="412"/>
      <c r="M370" s="412"/>
      <c r="N370" s="412"/>
      <c r="O370" s="412"/>
      <c r="P370" s="412"/>
      <c r="Q370" s="412"/>
      <c r="R370" s="412"/>
      <c r="S370" s="412"/>
      <c r="T370" s="412"/>
      <c r="U370" s="412"/>
      <c r="V370" s="412"/>
      <c r="W370" s="412"/>
      <c r="X370" s="412"/>
      <c r="Y370" s="412"/>
      <c r="Z370" s="412"/>
      <c r="AA370" s="412"/>
      <c r="AB370" s="412"/>
      <c r="AC370" s="412"/>
      <c r="AD370" s="412"/>
    </row>
    <row r="371">
      <c r="A371" s="347"/>
      <c r="B371" s="323"/>
      <c r="C371" s="323"/>
      <c r="D371" s="323"/>
      <c r="E371" s="223"/>
      <c r="F371" s="348"/>
      <c r="G371" s="434"/>
      <c r="H371" s="611"/>
      <c r="I371" s="348"/>
      <c r="J371" s="374"/>
      <c r="K371" s="269"/>
      <c r="L371" s="269"/>
      <c r="M371" s="269"/>
      <c r="N371" s="269"/>
      <c r="O371" s="269"/>
      <c r="P371" s="269"/>
      <c r="Q371" s="269"/>
      <c r="R371" s="269"/>
      <c r="S371" s="269"/>
      <c r="T371" s="269"/>
      <c r="U371" s="269"/>
      <c r="V371" s="269"/>
      <c r="W371" s="269"/>
      <c r="X371" s="269"/>
      <c r="Y371" s="269"/>
      <c r="Z371" s="269"/>
      <c r="AA371" s="269"/>
      <c r="AB371" s="269"/>
      <c r="AC371" s="269"/>
      <c r="AD371" s="269"/>
    </row>
    <row r="372">
      <c r="A372" s="347"/>
      <c r="B372" s="323"/>
      <c r="C372" s="323"/>
      <c r="D372" s="323"/>
      <c r="E372" s="223"/>
      <c r="F372" s="348"/>
      <c r="G372" s="434"/>
      <c r="H372" s="371"/>
      <c r="I372" s="348"/>
      <c r="J372" s="374"/>
      <c r="K372" s="269"/>
      <c r="L372" s="269"/>
      <c r="M372" s="269"/>
      <c r="N372" s="269"/>
      <c r="O372" s="269"/>
      <c r="P372" s="269"/>
      <c r="Q372" s="269"/>
      <c r="R372" s="269"/>
      <c r="S372" s="269"/>
      <c r="T372" s="269"/>
      <c r="U372" s="269"/>
      <c r="V372" s="269"/>
      <c r="W372" s="269"/>
      <c r="X372" s="269"/>
      <c r="Y372" s="269"/>
      <c r="Z372" s="269"/>
      <c r="AA372" s="269"/>
      <c r="AB372" s="269"/>
      <c r="AC372" s="269"/>
      <c r="AD372" s="269"/>
    </row>
    <row r="373">
      <c r="A373" s="347"/>
      <c r="B373" s="323"/>
      <c r="C373" s="323"/>
      <c r="D373" s="323"/>
      <c r="E373" s="223"/>
      <c r="F373" s="348"/>
      <c r="G373" s="434"/>
      <c r="H373" s="371"/>
      <c r="I373" s="348"/>
      <c r="J373" s="374"/>
      <c r="K373" s="269"/>
      <c r="L373" s="269"/>
      <c r="M373" s="269"/>
      <c r="N373" s="269"/>
      <c r="O373" s="269"/>
      <c r="P373" s="269"/>
      <c r="Q373" s="269"/>
      <c r="R373" s="269"/>
      <c r="S373" s="269"/>
      <c r="T373" s="269"/>
      <c r="U373" s="269"/>
      <c r="V373" s="269"/>
      <c r="W373" s="269"/>
      <c r="X373" s="269"/>
      <c r="Y373" s="269"/>
      <c r="Z373" s="269"/>
      <c r="AA373" s="269"/>
      <c r="AB373" s="269"/>
      <c r="AC373" s="269"/>
      <c r="AD373" s="269"/>
    </row>
    <row r="374">
      <c r="A374" s="347"/>
      <c r="B374" s="323"/>
      <c r="C374" s="323"/>
      <c r="D374" s="323"/>
      <c r="E374" s="223"/>
      <c r="F374" s="348"/>
      <c r="G374" s="434"/>
      <c r="H374" s="371"/>
      <c r="I374" s="348"/>
      <c r="J374" s="374"/>
      <c r="K374" s="269"/>
      <c r="L374" s="269"/>
      <c r="M374" s="269"/>
      <c r="N374" s="269"/>
      <c r="O374" s="269"/>
      <c r="P374" s="269"/>
      <c r="Q374" s="269"/>
      <c r="R374" s="269"/>
      <c r="S374" s="269"/>
      <c r="T374" s="269"/>
      <c r="U374" s="269"/>
      <c r="V374" s="269"/>
      <c r="W374" s="269"/>
      <c r="X374" s="269"/>
      <c r="Y374" s="269"/>
      <c r="Z374" s="269"/>
      <c r="AA374" s="269"/>
      <c r="AB374" s="269"/>
      <c r="AC374" s="269"/>
      <c r="AD374" s="269"/>
    </row>
  </sheetData>
  <mergeCells count="8">
    <mergeCell ref="A1:J1"/>
    <mergeCell ref="A2:J2"/>
    <mergeCell ref="A3:H3"/>
    <mergeCell ref="I3:J3"/>
    <mergeCell ref="A4:D4"/>
    <mergeCell ref="E4:F4"/>
    <mergeCell ref="I4:I5"/>
    <mergeCell ref="J4:J5"/>
  </mergeCells>
  <printOptions horizontalCentered="1"/>
  <pageMargins bottom="0.75" footer="0.0" header="0.0" left="0.25" right="0.25" top="0.75"/>
  <pageSetup paperSize="9" cellComments="atEnd" orientation="portrait" pageOrder="overThenDown"/>
  <headerFooter>
    <oddFooter>&amp;L&amp;A&amp;R&amp;P</oddFooter>
  </headerFooter>
  <rowBreaks count="9" manualBreakCount="9">
    <brk id="64" man="1"/>
    <brk id="224" man="1"/>
    <brk id="354" man="1"/>
    <brk id="53" man="1"/>
    <brk id="216" man="1"/>
    <brk id="72" man="1"/>
    <brk id="41" man="1"/>
    <brk id="332" man="1"/>
    <brk id="204" man="1"/>
  </rowBreaks>
  <colBreaks count="2" manualBreakCount="2">
    <brk man="1"/>
    <brk id="10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4.0"/>
    <col customWidth="1" min="3" max="3" width="5.63"/>
    <col customWidth="1" min="4" max="26" width="12.63"/>
  </cols>
  <sheetData>
    <row r="1">
      <c r="A1" s="612">
        <v>1201.0</v>
      </c>
      <c r="B1" s="612" t="s">
        <v>123</v>
      </c>
      <c r="C1" s="613">
        <v>16800.0</v>
      </c>
      <c r="E1" s="612" t="s">
        <v>414</v>
      </c>
      <c r="F1" s="612" t="s">
        <v>415</v>
      </c>
    </row>
    <row r="2">
      <c r="A2" s="612">
        <v>1301.0</v>
      </c>
      <c r="B2" s="612" t="s">
        <v>150</v>
      </c>
      <c r="C2" s="614">
        <v>3040.0</v>
      </c>
      <c r="E2" s="612" t="s">
        <v>416</v>
      </c>
      <c r="F2" s="615">
        <v>45000.0</v>
      </c>
      <c r="G2" s="615" t="s">
        <v>417</v>
      </c>
    </row>
    <row r="3">
      <c r="B3" s="612" t="s">
        <v>261</v>
      </c>
      <c r="C3" s="614">
        <v>300.0</v>
      </c>
      <c r="G3" s="612" t="s">
        <v>418</v>
      </c>
    </row>
    <row r="4">
      <c r="A4" s="612">
        <v>1402.0</v>
      </c>
      <c r="C4" s="612">
        <v>6500.0</v>
      </c>
    </row>
    <row r="5">
      <c r="A5" s="612">
        <v>1432.0</v>
      </c>
      <c r="C5" s="612">
        <v>6800.0</v>
      </c>
    </row>
    <row r="6">
      <c r="A6" s="612">
        <v>1613.0</v>
      </c>
      <c r="C6" s="612">
        <v>15000.0</v>
      </c>
    </row>
    <row r="7">
      <c r="A7" s="612">
        <v>1633.0</v>
      </c>
      <c r="C7" s="612">
        <v>15000.0</v>
      </c>
    </row>
    <row r="12">
      <c r="C12" s="614">
        <f>SUM(C1:C11)</f>
        <v>63440</v>
      </c>
    </row>
  </sheetData>
  <drawing r:id="rId1"/>
</worksheet>
</file>